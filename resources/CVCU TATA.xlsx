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s\rina\rina-inventa\resources\"/>
    </mc:Choice>
  </mc:AlternateContent>
  <xr:revisionPtr revIDLastSave="0" documentId="13_ncr:1_{4A402377-7B82-43DF-96E8-A39D13B5C548}" xr6:coauthVersionLast="47" xr6:coauthVersionMax="47" xr10:uidLastSave="{00000000-0000-0000-0000-000000000000}"/>
  <bookViews>
    <workbookView xWindow="-110" yWindow="-110" windowWidth="29020" windowHeight="15700" tabRatio="763" firstSheet="6" activeTab="6" xr2:uid="{00000000-000D-0000-FFFF-FFFF00000000}"/>
  </bookViews>
  <sheets>
    <sheet name="KIBA" sheetId="4" state="hidden" r:id="rId1"/>
    <sheet name="KIBB" sheetId="5" state="hidden" r:id="rId2"/>
    <sheet name="KIBC" sheetId="6" state="hidden" r:id="rId3"/>
    <sheet name="KIBD" sheetId="7" state="hidden" r:id="rId4"/>
    <sheet name="KIBE" sheetId="8" state="hidden" r:id="rId5"/>
    <sheet name="KIBF" sheetId="9" state="hidden" r:id="rId6"/>
    <sheet name="KIR" sheetId="10" r:id="rId7"/>
    <sheet name="KIBAInv" sheetId="13" state="hidden" r:id="rId8"/>
    <sheet name="KIBBInv" sheetId="14" state="hidden" r:id="rId9"/>
    <sheet name="KIBCInv" sheetId="15" state="hidden" r:id="rId10"/>
    <sheet name="KIBDInv" sheetId="16" state="hidden" r:id="rId11"/>
    <sheet name="KIBEInv" sheetId="17" state="hidden" r:id="rId12"/>
    <sheet name="KIBFInv" sheetId="18" state="hidden" r:id="rId13"/>
    <sheet name="RKPInv" sheetId="19" state="hidden" r:id="rId14"/>
    <sheet name="Rekap" sheetId="12" state="hidden" r:id="rId15"/>
    <sheet name="BI" sheetId="11" state="hidden" r:id="rId16"/>
    <sheet name="KIR (2)" sheetId="20" r:id="rId17"/>
    <sheet name="KIR (3)" sheetId="21" r:id="rId18"/>
    <sheet name="Sheet1" sheetId="1" r:id="rId19"/>
  </sheets>
  <definedNames>
    <definedName name="_xlnm.Print_Area" localSheetId="17">'KIR (3)'!$A$1:$I$79</definedName>
    <definedName name="_xlnm.Print_Titles" localSheetId="15">BI!$13:$13</definedName>
    <definedName name="_xlnm.Print_Titles" localSheetId="0">KIBA!$13:$13</definedName>
    <definedName name="_xlnm.Print_Titles" localSheetId="7">KIBAInv!$13:$13</definedName>
    <definedName name="_xlnm.Print_Titles" localSheetId="1">KIBB!$13:$13</definedName>
    <definedName name="_xlnm.Print_Titles" localSheetId="8">KIBBInv!$13:$13</definedName>
    <definedName name="_xlnm.Print_Titles" localSheetId="2">KIBC!$13:$13</definedName>
    <definedName name="_xlnm.Print_Titles" localSheetId="9">KIBCInv!$13:$13</definedName>
    <definedName name="_xlnm.Print_Titles" localSheetId="3">KIBD!$13:$13</definedName>
    <definedName name="_xlnm.Print_Titles" localSheetId="10">KIBDInv!$13:$13</definedName>
    <definedName name="_xlnm.Print_Titles" localSheetId="4">KIBE!$13:$13</definedName>
    <definedName name="_xlnm.Print_Titles" localSheetId="11">KIBEInv!$13:$13</definedName>
    <definedName name="_xlnm.Print_Titles" localSheetId="5">KIBF!$13:$13</definedName>
    <definedName name="_xlnm.Print_Titles" localSheetId="12">KIBFInv!$13:$13</definedName>
    <definedName name="_xlnm.Print_Titles" localSheetId="6">KIR!$15:$15</definedName>
    <definedName name="_xlnm.Print_Titles" localSheetId="16">'KIR (2)'!$17:$17</definedName>
    <definedName name="_xlnm.Print_Titles" localSheetId="17">'KIR (3)'!$14:$17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0" i="1"/>
  <c r="G71" i="21" l="1"/>
  <c r="R16" i="8" l="1"/>
  <c r="Q16" i="8"/>
  <c r="R16" i="7"/>
  <c r="Q16" i="7"/>
  <c r="S16" i="6"/>
  <c r="R16" i="6"/>
  <c r="R16" i="5"/>
  <c r="S16" i="5"/>
  <c r="L15" i="19"/>
  <c r="J15" i="19"/>
  <c r="H15" i="19"/>
  <c r="F15" i="19"/>
  <c r="E15" i="19"/>
  <c r="D15" i="19"/>
  <c r="G15" i="19" s="1"/>
  <c r="N16" i="18"/>
  <c r="O16" i="17"/>
  <c r="O16" i="16"/>
  <c r="P16" i="15"/>
  <c r="M16" i="13"/>
  <c r="H15" i="12"/>
  <c r="G15" i="12"/>
  <c r="F15" i="12"/>
  <c r="E15" i="12"/>
  <c r="N16" i="11"/>
  <c r="M16" i="11"/>
  <c r="K118" i="10"/>
  <c r="O16" i="9"/>
  <c r="P16" i="8"/>
  <c r="P16" i="7"/>
  <c r="Q16" i="6"/>
  <c r="Q16" i="5"/>
  <c r="N16" i="4"/>
  <c r="M15" i="19" l="1"/>
  <c r="K15" i="19"/>
  <c r="I15" i="19"/>
</calcChain>
</file>

<file path=xl/sharedStrings.xml><?xml version="1.0" encoding="utf-8"?>
<sst xmlns="http://schemas.openxmlformats.org/spreadsheetml/2006/main" count="1881" uniqueCount="327">
  <si>
    <t>KARTU INVENTARIS BARANG (KIB) A. TANAH</t>
  </si>
  <si>
    <t>Kode Lokasi</t>
  </si>
  <si>
    <t>:</t>
  </si>
  <si>
    <t>Bidang</t>
  </si>
  <si>
    <t>Sub Bidang</t>
  </si>
  <si>
    <t>Satuan Kerja</t>
  </si>
  <si>
    <t>No.</t>
  </si>
  <si>
    <t>Jenis Barang/Nama Barang</t>
  </si>
  <si>
    <t>Nomor</t>
  </si>
  <si>
    <t>Luas (M2)</t>
  </si>
  <si>
    <t>Tahun Pengadaan</t>
  </si>
  <si>
    <t>Letak/ alamat</t>
  </si>
  <si>
    <t>Status Tanah</t>
  </si>
  <si>
    <t>Penggunaan</t>
  </si>
  <si>
    <t>Asal Usul</t>
  </si>
  <si>
    <t>Harga</t>
  </si>
  <si>
    <t>Keterangan</t>
  </si>
  <si>
    <t>Hak</t>
  </si>
  <si>
    <t>Sertifikat</t>
  </si>
  <si>
    <t>Kode Barang</t>
  </si>
  <si>
    <t>Reg.</t>
  </si>
  <si>
    <t>Tanggal</t>
  </si>
  <si>
    <t>Jumlah</t>
  </si>
  <si>
    <t>Mengetahui,</t>
  </si>
  <si>
    <t>KEPALA SKPD</t>
  </si>
  <si>
    <t>Pengurus Barang</t>
  </si>
  <si>
    <t>( ………………………………)</t>
  </si>
  <si>
    <t>NIP. ………………………</t>
  </si>
  <si>
    <t>NIP. ………………………………</t>
  </si>
  <si>
    <t>KARTU INVENTARIS BARANG (KIB) B. PERALATAN DAN MESIN</t>
  </si>
  <si>
    <t>Merk type</t>
  </si>
  <si>
    <t>Ukuran/ CC</t>
  </si>
  <si>
    <t>Bahan</t>
  </si>
  <si>
    <t>Warna</t>
  </si>
  <si>
    <t>Tahun Pembelian</t>
  </si>
  <si>
    <t>Pabrik</t>
  </si>
  <si>
    <t>Rangka</t>
  </si>
  <si>
    <t>Mesin</t>
  </si>
  <si>
    <t>Polisi</t>
  </si>
  <si>
    <t>BPKB</t>
  </si>
  <si>
    <t>( …………………………………..)</t>
  </si>
  <si>
    <t>KARTU INVENTARIS BARANG (KIB) C. GEDUNG DAN BANGUNAN</t>
  </si>
  <si>
    <t>Kondisi Bangunan</t>
  </si>
  <si>
    <t>Konstruksi Bangunan</t>
  </si>
  <si>
    <t>Luas Lantai (m2)</t>
  </si>
  <si>
    <t>Letak/Lokasi Alamat</t>
  </si>
  <si>
    <t>Dokumen Gedung</t>
  </si>
  <si>
    <t>Luas (m2)</t>
  </si>
  <si>
    <t>Nomor Kode Tanah</t>
  </si>
  <si>
    <t>Register</t>
  </si>
  <si>
    <t>Bertingkat/Tidak</t>
  </si>
  <si>
    <t>Beton/  Tidak</t>
  </si>
  <si>
    <t>KARTU INVENTARIS BARANG (KIB) D. JALAN, IRIGASI DAN JARINGAN</t>
  </si>
  <si>
    <t>Konstruksi</t>
  </si>
  <si>
    <t>Panjang (m2)</t>
  </si>
  <si>
    <t>Lebar (m2)</t>
  </si>
  <si>
    <t>Asal-usul</t>
  </si>
  <si>
    <t>Kondisi</t>
  </si>
  <si>
    <t>KARTU INVENTARIS BARANG (KIB) E. ASET TETAP LAINNYA</t>
  </si>
  <si>
    <t>Buku Perpustakaan</t>
  </si>
  <si>
    <t>Barang Bercorak Kesenian/Kebudayaan</t>
  </si>
  <si>
    <t>Hewan Ternak dan Tumbuhan</t>
  </si>
  <si>
    <t>Tahun Cetak/Pembelian</t>
  </si>
  <si>
    <t>Judul/Pencipta</t>
  </si>
  <si>
    <t>Spesifikasi</t>
  </si>
  <si>
    <t>Asal Daerah</t>
  </si>
  <si>
    <t>Pencipta</t>
  </si>
  <si>
    <t>Jenis</t>
  </si>
  <si>
    <t>Ukuran</t>
  </si>
  <si>
    <t>Semarang, ………………………</t>
  </si>
  <si>
    <t>KARTU INVENTARIS BARANG (KIB) F. KONTRUKSI DALAM PENGERJAAN</t>
  </si>
  <si>
    <t>Tgl. Mulai Pekerjaan</t>
  </si>
  <si>
    <t>Nilai Kotrak</t>
  </si>
  <si>
    <t>KARTU INVENTARIS RUANGAN</t>
  </si>
  <si>
    <t>Kode Gedung</t>
  </si>
  <si>
    <t>Ruang</t>
  </si>
  <si>
    <t>Luas</t>
  </si>
  <si>
    <t>No. Kode Lokasi</t>
  </si>
  <si>
    <t>Merk/Model</t>
  </si>
  <si>
    <t>No. Seri Pabrik</t>
  </si>
  <si>
    <t>Tahun pembuatan</t>
  </si>
  <si>
    <t>Penanggung Jawab Ruangan</t>
  </si>
  <si>
    <t>Pembantu Pengurus Barang</t>
  </si>
  <si>
    <t>BUKU INVENTARIS BARANG MILIK DAERAH</t>
  </si>
  <si>
    <t>SPESIFIKASI BARANG</t>
  </si>
  <si>
    <t>Asal/Cara Perolehan Barang</t>
  </si>
  <si>
    <t>Tahun Perolehan</t>
  </si>
  <si>
    <t>Ukuran Barang/ Konstruksi (P,S,D)</t>
  </si>
  <si>
    <t>Satuan</t>
  </si>
  <si>
    <t>Keadaan (B/KB/R)</t>
  </si>
  <si>
    <t>Reg</t>
  </si>
  <si>
    <t>Merk/Type</t>
  </si>
  <si>
    <t>No.Sertifikat/No.Pabrik/No.Chasis/No.Mesin</t>
  </si>
  <si>
    <t>Barang</t>
  </si>
  <si>
    <t>REKAPITULASI BARANG MILIK DAERAH</t>
  </si>
  <si>
    <t>JUMLAH</t>
  </si>
  <si>
    <t xml:space="preserve">JUMLAH TOTAL </t>
  </si>
  <si>
    <t>KETERANGAN</t>
  </si>
  <si>
    <t>Keadaan (Baik/Rusak Ringan/Rusak Berat)</t>
  </si>
  <si>
    <t>HASIL SENSUS BARANG (KIB) A. TANAH</t>
  </si>
  <si>
    <t>TAHUN</t>
  </si>
  <si>
    <t>HASIL SENSUS BARANG (KIB) B. PERALATAN DAN MESIN</t>
  </si>
  <si>
    <t>HASIL SENSUS BARANG (KIB) C. GEDUNG DAN BANGUNAN</t>
  </si>
  <si>
    <t>HASIL SENSUS BARANG (KIB) D. JALAN, IRIGASI DAN JARINGAN</t>
  </si>
  <si>
    <t>HASIL SENSUS BARANG (KIB) E. ASET TETAP LAINNYA</t>
  </si>
  <si>
    <t>HASIL SENSUS BARANG (KIB) F. KONTRUKSI DALAM PENGERJAAN</t>
  </si>
  <si>
    <t>Tahun</t>
  </si>
  <si>
    <t xml:space="preserve">REKAP HASIL SENSUS BARANG </t>
  </si>
  <si>
    <t>Objek</t>
  </si>
  <si>
    <t>AUDITED</t>
  </si>
  <si>
    <t>Jml</t>
  </si>
  <si>
    <t>BAIK</t>
  </si>
  <si>
    <t>%</t>
  </si>
  <si>
    <t>RUSAK RINGAN</t>
  </si>
  <si>
    <t>RUSAK BERAT</t>
  </si>
  <si>
    <t>TIDAK ADA</t>
  </si>
  <si>
    <t>HASIL SENSUS</t>
  </si>
  <si>
    <t>KODE AKUN</t>
  </si>
  <si>
    <t>KODE OBJEK</t>
  </si>
  <si>
    <t>PROVINSI JAWA TIMUR</t>
  </si>
  <si>
    <t>Surabaya , ………………………</t>
  </si>
  <si>
    <t>JUMLAH HARGA (Rp.)</t>
  </si>
  <si>
    <t>TOTAL HARGA (Rp.)</t>
  </si>
  <si>
    <t>Unit Pemakai</t>
  </si>
  <si>
    <t>Akumulasi</t>
  </si>
  <si>
    <t>Nilai Buku</t>
  </si>
  <si>
    <t>Deskripsi Barang</t>
  </si>
  <si>
    <t>: Rumah Sakit Umum Daerah Karsa Husada Batu</t>
  </si>
  <si>
    <t>: 11.01.35.00.010207.00000.00000.2021-1.3.3.01.01.06.001.000001</t>
  </si>
  <si>
    <t>: 1-2 - RUANG CVCU</t>
  </si>
  <si>
    <t>: 0,00 m2</t>
  </si>
  <si>
    <t>: INSTALASI CVCU</t>
  </si>
  <si>
    <t>: 11.01.35.00.010207.00000.00000.2021-1.3.3.01.01.06.001.000001-NON-1-2</t>
  </si>
  <si>
    <t>( ALVINA PUSPITASARI, S.KEP )</t>
  </si>
  <si>
    <t>NIP : 19830914 201101 2 005</t>
  </si>
  <si>
    <t>( RIDWAN HARIJANTO )</t>
  </si>
  <si>
    <t>NIP : 19710514 200801 1 006</t>
  </si>
  <si>
    <t>[Sofa R. Tunggu Pasien] ALAT KANTOR DAN RUMAH TANGGA.SOFA</t>
  </si>
  <si>
    <t>11.01.35.00.010207.00000.00000.2010-1.3.2.05.02.01.048</t>
  </si>
  <si>
    <t>LOKAL</t>
  </si>
  <si>
    <t xml:space="preserve"> </t>
  </si>
  <si>
    <t>KAYU DAN KAIN</t>
  </si>
  <si>
    <t>[Trolly Instrument] ALAT KANTOR DAN RUMAH TANGGA.MEJA PERIKSA PASIEN</t>
  </si>
  <si>
    <t>11.01.35.00.010207.00000.00000.2013-1.3.2.05.02.01.019</t>
  </si>
  <si>
    <t>[Overbed Table] ALAT KEDOKTERAN DAN ALAT KESEHATAN.ALAT KEDOKTERAN UMUM</t>
  </si>
  <si>
    <t>11.01.35.00.010207.00000.00000.2014-1.3.2.07.01.01.000</t>
  </si>
  <si>
    <t xml:space="preserve">Yf.05.05/5/0540/2011 </t>
  </si>
  <si>
    <t>[Echocardiography] ALAT KEDOKTERAN DAN ALAT KESEHATAN.ECHO CARDIOGRAPH SYSTEM</t>
  </si>
  <si>
    <t>11.01.35.00.010207.00000.00000.2016-1.3.2.07.01.14.023</t>
  </si>
  <si>
    <t xml:space="preserve">GE Vivid Q Portable Echoc </t>
  </si>
  <si>
    <t>Campuran</t>
  </si>
  <si>
    <t>[All in One PC] ALAT KOMPUTER.PERSONAL KOMPUTER</t>
  </si>
  <si>
    <t>11.01.35.00.010207.00000.00000.2016-1.3.2.10.01.02.000</t>
  </si>
  <si>
    <t>Lenovo Intel Core i5-6200U-4 GB</t>
  </si>
  <si>
    <t>21,5 Inci</t>
  </si>
  <si>
    <t>[Lemari Linen Kaca] ALAT KANTOR DAN RUMAH TANGGA.LEMARI KACA</t>
  </si>
  <si>
    <t>11.01.35.00.010207.00000.00000.2017-1.3.2.05.01.04.027</t>
  </si>
  <si>
    <t>90cm x 50cm x 200cm</t>
  </si>
  <si>
    <t>KACA</t>
  </si>
  <si>
    <t>[Meja Kerja] ALAT KANTOR DAN RUMAH TANGGA.MEJA KERJA KAYU</t>
  </si>
  <si>
    <t>11.01.35.00.010207.00000.00000.2017-1.3.2.05.02.01.002</t>
  </si>
  <si>
    <t>[Trolly medical report] ALAT KEDOKTERAN DAN ALAT KESEHATAN.ALAT KEDOKTERAN UMUM</t>
  </si>
  <si>
    <t>11.01.35.00.010207.00000.00000.2017-1.3.2.07.01.01.000</t>
  </si>
  <si>
    <t xml:space="preserve">MAK </t>
  </si>
  <si>
    <t>[Tempat Tidur Pasien] ALAT KEDOKTERAN DAN ALAT KESEHATAN.ALAT KEDOKTERAN UMUM</t>
  </si>
  <si>
    <t>PARAMOUNT 2 Crank Gatch Bed</t>
  </si>
  <si>
    <t>CAMPURAN</t>
  </si>
  <si>
    <t xml:space="preserve">PARAMOUNT </t>
  </si>
  <si>
    <t>[Bedside Cabinet] ALAT KEDOKTERAN DAN ALAT KESEHATAN.ALAT KEDOKTERAN UMUM</t>
  </si>
  <si>
    <t>PARAMOUNT New 3 Motor Electric Bed</t>
  </si>
  <si>
    <t>[Stetoscope Adult] ALAT KEDOKTERAN DAN ALAT KESEHATAN.STETOSCOPE (ALAT KEDOKTERAN UMUM)</t>
  </si>
  <si>
    <t>11.01.35.00.010207.00000.00000.2017-1.3.2.07.01.01.004</t>
  </si>
  <si>
    <t xml:space="preserve">ADC </t>
  </si>
  <si>
    <t>[Patient Monitor] ALAT KEDOKTERAN DAN ALAT KESEHATAN.ALAT KEDOKTERAN GAWAT DARURAT</t>
  </si>
  <si>
    <t>11.01.35.00.010207.00000.00000.2017-1.3.2.07.01.21.000</t>
  </si>
  <si>
    <t>PHILIPS MX500</t>
  </si>
  <si>
    <t>[Sofa Puff] ALAT KANTOR DAN RUMAH TANGGA.SOFA</t>
  </si>
  <si>
    <t>11.01.35.00.010207.00000.00000.2018-1.3.2.05.02.01.048</t>
  </si>
  <si>
    <t>150 x 50 x 45 cm</t>
  </si>
  <si>
    <t>[Syringe Pump] ALAT KEDOKTERAN DAN ALAT KESEHATAN.ALAT KEDOKTERAN BEDAH</t>
  </si>
  <si>
    <t>11.01.35.00.010207.00000.00000.2018-1.3.2.07.01.04.000</t>
  </si>
  <si>
    <t xml:space="preserve">BBraun </t>
  </si>
  <si>
    <t>[Infusion Pump] ALAT KEDOKTERAN DAN ALAT KESEHATAN.ALAT KEDOKTERAN JANTUNG</t>
  </si>
  <si>
    <t>11.01.35.00.010207.00000.00000.2018-1.3.2.07.01.14.000</t>
  </si>
  <si>
    <t>BBRAUN Infusomat Space P</t>
  </si>
  <si>
    <t>[Printer] ALAT KOMPUTER.PERALATAN MINI KOMPUTER</t>
  </si>
  <si>
    <t>11.01.35.00.010207.00000.00000.2018-1.3.2.10.02.02.000</t>
  </si>
  <si>
    <t>Hp Laser Jet</t>
  </si>
  <si>
    <t>[Bedside Cabinet Kelas 2] ALAT KEDOKTERAN DAN ALAT KESEHATAN.ALAT KEDOKTERAN UMUM</t>
  </si>
  <si>
    <t>11.01.35.00.010207.00000.00000.2020-1.3.2.07.01.01.000</t>
  </si>
  <si>
    <t>MAK 73032</t>
  </si>
  <si>
    <t>[Hospital cabinet] ALAT KEDOKTERAN DAN ALAT KESEHATAN.INSTRUMEN CABINET</t>
  </si>
  <si>
    <t>11.01.35.00.010207.00000.00000.2020-1.3.2.07.01.01.018</t>
  </si>
  <si>
    <t>DSP RSL Indrapura</t>
  </si>
  <si>
    <t>--- ---</t>
  </si>
  <si>
    <t>---</t>
  </si>
  <si>
    <t>[KURSI TUNGGU PASIEN] ALAT KANTOR DAN RUMAH TANGGA.KURSI BESI/METAL</t>
  </si>
  <si>
    <t>11.01.35.00.010207.00000.00000.2021-1.3.2.05.02.01.003</t>
  </si>
  <si>
    <t>[LAMPU TINDAKAN] ALAT KEDOKTERAN DAN ALAT KESEHATAN.EXAMINATION LAMP</t>
  </si>
  <si>
    <t>11.01.35.00.010207.00000.00000.2021-1.3.2.07.01.01.064</t>
  </si>
  <si>
    <t>IBS</t>
  </si>
  <si>
    <t>MR-1</t>
  </si>
  <si>
    <t>[SYRINGE PUMP] ALAT KEDOKTERAN DAN ALAT KESEHATAN.SYRINGE PUMP (ALAT KEDOKTERAN UMUM)</t>
  </si>
  <si>
    <t>11.01.35.00.010207.00000.00000.2021-1.3.2.07.01.01.143</t>
  </si>
  <si>
    <t>TERUMO SS3</t>
  </si>
  <si>
    <t>[HEPA FILTER PORTABLE] ALAT KANTOR DAN RUMAH TANGGA.ALAT RUMAH TANGGA LAINNYA (HOME USE)</t>
  </si>
  <si>
    <t>11.01.35.00.010207.00000.00000.2022-1.3.2.05.02.06.000</t>
  </si>
  <si>
    <t>ATMOSPHERE SKY</t>
  </si>
  <si>
    <t>[OVERBED TABLE, MEJA MAKAN PASIEN ] ALAT KEDOKTERAN DAN ALAT KESEHATAN.ALAT KEDOKTERAN UMUM</t>
  </si>
  <si>
    <t>11.01.35.00.010207.00000.00000.2022-1.3.2.07.01.01.000</t>
  </si>
  <si>
    <t>KARIXA</t>
  </si>
  <si>
    <t>[TIMBANGAN BADAN] ALAT KEDOKTERAN DAN ALAT KESEHATAN.TIMBANGAN BADAN (ALAT KEDOKTERAN UMUM)</t>
  </si>
  <si>
    <t>11.01.35.00.010207.00000.00000.2022-1.3.2.07.01.01.009</t>
  </si>
  <si>
    <t>[INFUSION PUMP] ALAT KEDOKTERAN DAN ALAT KESEHATAN.INFUSION PUMP</t>
  </si>
  <si>
    <t>11.01.35.00.010207.00000.00000.2022-1.3.2.07.01.01.080</t>
  </si>
  <si>
    <t>INMEDIK</t>
  </si>
  <si>
    <t>[MEDICATION CART] ALAT KEDOKTERAN DAN ALAT KESEHATAN.LEMARI OBAT (KACA)</t>
  </si>
  <si>
    <t>11.01.35.00.010207.00000.00000.2022-1.3.2.07.01.01.096</t>
  </si>
  <si>
    <t>KARIXA KA 31-OOBSS</t>
  </si>
  <si>
    <t>905 X 400 X 1061 MM</t>
  </si>
  <si>
    <t>STAINLESS STEEL</t>
  </si>
  <si>
    <t>[KURSI RODA] ALAT KEDOKTERAN DAN ALAT KESEHATAN.KURSI DORONG/KURSI RODA</t>
  </si>
  <si>
    <t>11.01.35.00.010207.00000.00000.2022-1.3.2.07.01.01.126</t>
  </si>
  <si>
    <t>GEA F5902C</t>
  </si>
  <si>
    <t>[SUCTION WALL] ALAT KEDOKTERAN DAN ALAT KESEHATAN.SUCTION PUMP</t>
  </si>
  <si>
    <t>11.01.35.00.010207.00000.00000.2022-1.3.2.07.01.01.133</t>
  </si>
  <si>
    <t>VACUTRON</t>
  </si>
  <si>
    <t>11.01.35.00.010207.00000.00000.2022-1.3.2.07.01.01.143</t>
  </si>
  <si>
    <t>IN MEDIK</t>
  </si>
  <si>
    <t>[EMERGENCY TROLLEY] ALAT KEDOKTERAN DAN ALAT KESEHATAN.EMERGENCY TROLLEY</t>
  </si>
  <si>
    <t>11.01.35.00.010207.00000.00000.2022-1.3.2.07.01.04.071</t>
  </si>
  <si>
    <t>[DEFIBRILATOR] ALAT KEDOKTERAN DAN ALAT KESEHATAN.DEFIBRILATOR</t>
  </si>
  <si>
    <t>11.01.35.00.010207.00000.00000.2022-1.3.2.07.01.08.065</t>
  </si>
  <si>
    <t>MINDRAY BENEHEART D6</t>
  </si>
  <si>
    <t>[PATIENT MONITOR] ALAT KEDOKTERAN DAN ALAT KESEHATAN.PATIENT MONITOR</t>
  </si>
  <si>
    <t>11.01.35.00.010207.00000.00000.2022-1.3.2.07.01.13.005</t>
  </si>
  <si>
    <t>NIHON KOHDEN PVM 2701</t>
  </si>
  <si>
    <t>[ELECTROCARDIOGRAPH] ALAT KEDOKTERAN DAN ALAT KESEHATAN.ELECTROCARDIOGRAPH</t>
  </si>
  <si>
    <t>11.01.35.00.010207.00000.00000.2022-1.3.2.07.01.14.001</t>
  </si>
  <si>
    <t>KALAMED KES-121T</t>
  </si>
  <si>
    <t>12 CHANNEL</t>
  </si>
  <si>
    <t>[KURSI KANTOR] ALAT KANTOR DAN RUMAH TANGGA.KURSI BESI/METAL</t>
  </si>
  <si>
    <t>11.01.35.00.010207.00000.00000.2023-1.3.2.05.02.01.003</t>
  </si>
  <si>
    <t>PREMIUM</t>
  </si>
  <si>
    <t>FORTUNER BULAT</t>
  </si>
  <si>
    <t>BESI DAN PLASTIK</t>
  </si>
  <si>
    <t>[STETOSKOP] ALAT KEDOKTERAN DAN ALAT KESEHATAN.STETOSCOPE (ALAT KEDOKTERAN UMUM)</t>
  </si>
  <si>
    <t>11.01.35.00.010207.00000.00000.2023-1.3.2.07.01.01.004</t>
  </si>
  <si>
    <t>LITTMAN</t>
  </si>
  <si>
    <t>CAPURAN</t>
  </si>
  <si>
    <t>[FILM VIEWER X-RAY] ALAT KEDOKTERAN DAN ALAT KESEHATAN.FILM VIEWER</t>
  </si>
  <si>
    <t>11.01.35.00.010207.00000.00000.2023-1.3.2.07.01.01.067</t>
  </si>
  <si>
    <t>ONEMED HEALTH CARE</t>
  </si>
  <si>
    <t>[NEBULIZER] ALAT KEDOKTERAN DAN ALAT KESEHATAN.NEBULIZER</t>
  </si>
  <si>
    <t>11.01.35.00.010207.00000.00000.2023-1.3.2.07.01.08.024</t>
  </si>
  <si>
    <t>OMRON NE-C101</t>
  </si>
  <si>
    <t>[LAPTOP] ALAT KOMPUTER.LAPTOP</t>
  </si>
  <si>
    <t>11.01.35.00.010207.00000.00000.2023-1.3.2.10.01.02.002</t>
  </si>
  <si>
    <t>AXIOO MYBOOK PRO L5 (16N9)</t>
  </si>
  <si>
    <t>[PRINTER] ALAT KOMPUTER.PRINTER</t>
  </si>
  <si>
    <t>11.01.35.00.010207.00000.00000.2023-1.3.2.10.02.03.003</t>
  </si>
  <si>
    <t>EPSON L3210</t>
  </si>
  <si>
    <t>[PATIENT TRANSFER BOARD] ALAT KEDOKTERAN DAN ALAT KESEHATAN.ALAT KEDOKTERAN UMUM</t>
  </si>
  <si>
    <t>11.01.35.00.010207.00000.00000.2024-1.3.2.07.01.01.000</t>
  </si>
  <si>
    <t>NESCO</t>
  </si>
  <si>
    <t>2M X 80CM</t>
  </si>
  <si>
    <t>PARASUT</t>
  </si>
  <si>
    <t>[STETOSCOPE] ALAT KEDOKTERAN DAN ALAT KESEHATAN.STETOSCOPE (ALAT KEDOKTERAN UMUM)</t>
  </si>
  <si>
    <t>11.01.35.00.010207.00000.00000.2024-1.3.2.07.01.01.004</t>
  </si>
  <si>
    <t>LITTMANN CLASSIC III</t>
  </si>
  <si>
    <t>DEWASA</t>
  </si>
  <si>
    <t>[STANDAR INFUS] ALAT KEDOKTERAN DAN ALAT KESEHATAN.STANDAR INFUS</t>
  </si>
  <si>
    <t>11.01.35.00.010207.00000.00000.2024-1.3.2.07.01.01.138</t>
  </si>
  <si>
    <t>BESI</t>
  </si>
  <si>
    <t>11.01.35.00.010207.00000.00000.2024-1.3.2.07.01.14.001</t>
  </si>
  <si>
    <t>BTL</t>
  </si>
  <si>
    <t xml:space="preserve">073C0B002760 </t>
  </si>
  <si>
    <t>08 LC</t>
  </si>
  <si>
    <t>[KOMPTER PC] ALAT KOMPUTER.PC UNIT</t>
  </si>
  <si>
    <t>11.01.35.00.010207.00000.00000.2024-1.3.2.10.01.02.001</t>
  </si>
  <si>
    <t>MSI</t>
  </si>
  <si>
    <t>49CM X 29CM</t>
  </si>
  <si>
    <t>118-119</t>
  </si>
  <si>
    <t>216-218</t>
  </si>
  <si>
    <t>387-391</t>
  </si>
  <si>
    <t>2-4</t>
  </si>
  <si>
    <t>21-22</t>
  </si>
  <si>
    <t>11-12</t>
  </si>
  <si>
    <t>35-39</t>
  </si>
  <si>
    <t>48-50</t>
  </si>
  <si>
    <t>4-8</t>
  </si>
  <si>
    <t>6-7</t>
  </si>
  <si>
    <t>37-42</t>
  </si>
  <si>
    <t>15-17</t>
  </si>
  <si>
    <t>18-20</t>
  </si>
  <si>
    <t>32-36</t>
  </si>
  <si>
    <t>69-71</t>
  </si>
  <si>
    <t>9-10</t>
  </si>
  <si>
    <t>7-8</t>
  </si>
  <si>
    <t>1-3</t>
  </si>
  <si>
    <t>7-10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</si>
  <si>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</si>
  <si>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</si>
  <si>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</si>
  <si>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</si>
  <si>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</si>
  <si>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</si>
  <si>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</si>
  <si>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</si>
  <si>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</si>
  <si>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POLARIS</t>
  </si>
  <si>
    <t>ZT-120</t>
  </si>
  <si>
    <t>GEA, ABNE, RIESTER</t>
  </si>
  <si>
    <t>MAK</t>
  </si>
  <si>
    <t>14-15</t>
  </si>
  <si>
    <t>[PATIENT MONITOR ] ALAT KEDOKTERAN DAN ALAT KESEHATAN.BED SIDE MONITOR</t>
  </si>
  <si>
    <t>11.01.35.00.010207.00000.00000.2024-1.3.2.07.01.01.038</t>
  </si>
  <si>
    <t>PHILIP MX500 BASIC</t>
  </si>
  <si>
    <t>1-2</t>
  </si>
  <si>
    <t>[HANDPHONE] ALAT STUDIO KOMUNIKASI DAN PEMANCAR.TELEPHONE MOBILE</t>
  </si>
  <si>
    <t>11.01.35.00.010207.00000.00000.2025-1.3.2.06.02.01.004</t>
  </si>
  <si>
    <t>SAMSUNG GALAXY A16</t>
  </si>
  <si>
    <t>8GB 256 GB</t>
  </si>
  <si>
    <t xml:space="preserve">Unit Pemakai     </t>
  </si>
  <si>
    <t xml:space="preserve">No. Kode Lokasi </t>
  </si>
  <si>
    <t>: 15,34 x 23,80 m2</t>
  </si>
  <si>
    <t>Surabaya ,    Januari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</si>
</sst>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0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name val="Arial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quotePrefix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top" wrapText="1"/>
    </xf>
    <xf numFmtId="0" fontId="4" fillId="0" borderId="2" xfId="1" applyNumberFormat="1" applyFont="1" applyBorder="1" applyAlignment="1">
      <alignment horizontal="right" vertical="top" wrapText="1"/>
    </xf>
    <xf numFmtId="0" fontId="4" fillId="0" borderId="2" xfId="0" applyFont="1" applyBorder="1" applyAlignment="1">
      <alignment horizontal="right" vertical="top" wrapText="1"/>
    </xf>
    <xf numFmtId="0" fontId="4" fillId="0" borderId="2" xfId="1" applyNumberFormat="1" applyFont="1" applyBorder="1" applyAlignment="1">
      <alignment horizontal="left" vertical="top" wrapText="1"/>
    </xf>
    <xf numFmtId="14" fontId="4" fillId="0" borderId="2" xfId="1" applyNumberFormat="1" applyFont="1" applyBorder="1" applyAlignment="1">
      <alignment horizontal="left" vertical="top" wrapText="1"/>
    </xf>
    <xf numFmtId="164" fontId="4" fillId="0" borderId="2" xfId="1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 wrapText="1"/>
    </xf>
    <xf numFmtId="49" fontId="4" fillId="0" borderId="11" xfId="0" applyNumberFormat="1" applyFont="1" applyBorder="1" applyAlignment="1">
      <alignment horizontal="left" vertical="top" wrapText="1"/>
    </xf>
    <xf numFmtId="0" fontId="4" fillId="0" borderId="11" xfId="1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1" xfId="1" applyNumberFormat="1" applyFont="1" applyBorder="1" applyAlignment="1">
      <alignment horizontal="left" vertical="top" wrapText="1"/>
    </xf>
    <xf numFmtId="14" fontId="4" fillId="0" borderId="11" xfId="1" applyNumberFormat="1" applyFont="1" applyBorder="1" applyAlignment="1">
      <alignment horizontal="left" vertical="top" wrapText="1"/>
    </xf>
    <xf numFmtId="164" fontId="4" fillId="0" borderId="11" xfId="1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top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49" fontId="4" fillId="0" borderId="2" xfId="0" quotePrefix="1" applyNumberFormat="1" applyFont="1" applyBorder="1" applyAlignment="1">
      <alignment horizontal="left" vertical="top" wrapText="1"/>
    </xf>
    <xf numFmtId="164" fontId="4" fillId="0" borderId="2" xfId="1" applyNumberFormat="1" applyFont="1" applyBorder="1" applyAlignment="1">
      <alignment horizontal="right" vertical="top"/>
    </xf>
    <xf numFmtId="0" fontId="4" fillId="0" borderId="11" xfId="1" applyNumberFormat="1" applyFont="1" applyBorder="1" applyAlignment="1">
      <alignment horizontal="left" vertical="top"/>
    </xf>
    <xf numFmtId="164" fontId="4" fillId="0" borderId="11" xfId="1" applyNumberFormat="1" applyFont="1" applyBorder="1" applyAlignment="1">
      <alignment horizontal="right" vertical="top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2" xfId="1" applyNumberFormat="1" applyFont="1" applyBorder="1" applyAlignment="1">
      <alignment horizontal="left" vertical="top"/>
    </xf>
    <xf numFmtId="164" fontId="4" fillId="0" borderId="2" xfId="1" applyNumberFormat="1" applyFont="1" applyBorder="1" applyAlignment="1">
      <alignment horizontal="left" vertical="top" wrapText="1"/>
    </xf>
    <xf numFmtId="164" fontId="4" fillId="0" borderId="11" xfId="1" applyNumberFormat="1" applyFont="1" applyBorder="1" applyAlignment="1">
      <alignment horizontal="left"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4" fillId="0" borderId="0" xfId="1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 vertical="top" wrapText="1"/>
    </xf>
    <xf numFmtId="49" fontId="4" fillId="0" borderId="2" xfId="1" applyNumberFormat="1" applyFont="1" applyBorder="1" applyAlignment="1">
      <alignment horizontal="left" vertical="top"/>
    </xf>
    <xf numFmtId="49" fontId="4" fillId="0" borderId="11" xfId="1" applyNumberFormat="1" applyFont="1" applyBorder="1" applyAlignment="1">
      <alignment horizontal="left" vertical="top"/>
    </xf>
    <xf numFmtId="49" fontId="4" fillId="0" borderId="1" xfId="1" applyNumberFormat="1" applyFont="1" applyBorder="1" applyAlignment="1">
      <alignment horizontal="left" vertical="top"/>
    </xf>
    <xf numFmtId="164" fontId="4" fillId="0" borderId="1" xfId="1" applyNumberFormat="1" applyFont="1" applyBorder="1" applyAlignment="1">
      <alignment horizontal="right" vertical="top"/>
    </xf>
    <xf numFmtId="164" fontId="4" fillId="0" borderId="0" xfId="1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49" fontId="4" fillId="0" borderId="11" xfId="0" applyNumberFormat="1" applyFont="1" applyBorder="1" applyAlignment="1">
      <alignment horizontal="center" vertical="top"/>
    </xf>
    <xf numFmtId="164" fontId="4" fillId="0" borderId="1" xfId="1" applyNumberFormat="1" applyFont="1" applyBorder="1" applyAlignment="1">
      <alignment horizontal="left" vertical="top" wrapText="1"/>
    </xf>
    <xf numFmtId="0" fontId="4" fillId="0" borderId="1" xfId="1" applyNumberFormat="1" applyFont="1" applyBorder="1" applyAlignment="1">
      <alignment horizontal="left" vertical="center"/>
    </xf>
    <xf numFmtId="0" fontId="4" fillId="0" borderId="1" xfId="1" applyNumberFormat="1" applyFont="1" applyBorder="1" applyAlignment="1">
      <alignment horizontal="left" vertical="top" wrapText="1"/>
    </xf>
    <xf numFmtId="0" fontId="0" fillId="0" borderId="0" xfId="0" applyAlignment="1">
      <alignment horizontal="left"/>
    </xf>
    <xf numFmtId="164" fontId="4" fillId="0" borderId="1" xfId="1" applyNumberFormat="1" applyFont="1" applyBorder="1" applyAlignment="1">
      <alignment horizontal="left" vertical="center" wrapText="1"/>
    </xf>
    <xf numFmtId="2" fontId="4" fillId="0" borderId="2" xfId="1" applyNumberFormat="1" applyFont="1" applyBorder="1" applyAlignment="1">
      <alignment horizontal="right" vertical="top"/>
    </xf>
    <xf numFmtId="2" fontId="4" fillId="0" borderId="11" xfId="1" applyNumberFormat="1" applyFont="1" applyBorder="1" applyAlignment="1">
      <alignment horizontal="right" vertical="top"/>
    </xf>
    <xf numFmtId="1" fontId="4" fillId="0" borderId="2" xfId="1" applyNumberFormat="1" applyFont="1" applyBorder="1" applyAlignment="1">
      <alignment horizontal="right" vertical="top"/>
    </xf>
    <xf numFmtId="1" fontId="4" fillId="0" borderId="11" xfId="1" applyNumberFormat="1" applyFont="1" applyBorder="1" applyAlignment="1">
      <alignment horizontal="right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2" xfId="0" applyBorder="1" applyAlignment="1">
      <alignment vertical="top"/>
    </xf>
    <xf numFmtId="164" fontId="0" fillId="0" borderId="2" xfId="1" applyNumberFormat="1" applyFont="1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43" fontId="0" fillId="0" borderId="2" xfId="1" applyFont="1" applyBorder="1" applyAlignment="1">
      <alignment vertical="top"/>
    </xf>
    <xf numFmtId="43" fontId="0" fillId="0" borderId="11" xfId="1" applyFont="1" applyBorder="1" applyAlignment="1">
      <alignment vertical="top"/>
    </xf>
    <xf numFmtId="43" fontId="0" fillId="0" borderId="1" xfId="1" applyFont="1" applyBorder="1"/>
    <xf numFmtId="164" fontId="0" fillId="0" borderId="11" xfId="1" applyNumberFormat="1" applyFont="1" applyBorder="1" applyAlignment="1">
      <alignment vertical="top"/>
    </xf>
    <xf numFmtId="43" fontId="4" fillId="0" borderId="2" xfId="1" applyFont="1" applyBorder="1" applyAlignment="1">
      <alignment horizontal="right" vertical="top" wrapText="1"/>
    </xf>
    <xf numFmtId="43" fontId="4" fillId="0" borderId="11" xfId="1" applyFont="1" applyBorder="1" applyAlignment="1">
      <alignment horizontal="right" vertical="top" wrapText="1"/>
    </xf>
    <xf numFmtId="43" fontId="4" fillId="0" borderId="1" xfId="1" applyFont="1" applyBorder="1" applyAlignment="1">
      <alignment horizontal="right" vertical="center"/>
    </xf>
    <xf numFmtId="43" fontId="4" fillId="0" borderId="2" xfId="1" applyFont="1" applyBorder="1" applyAlignment="1">
      <alignment horizontal="right" vertical="top"/>
    </xf>
    <xf numFmtId="43" fontId="4" fillId="0" borderId="11" xfId="1" applyFont="1" applyBorder="1" applyAlignment="1">
      <alignment horizontal="right" vertical="top"/>
    </xf>
    <xf numFmtId="43" fontId="4" fillId="0" borderId="1" xfId="1" applyFont="1" applyBorder="1" applyAlignment="1">
      <alignment horizontal="right" vertical="top" wrapText="1"/>
    </xf>
    <xf numFmtId="43" fontId="4" fillId="0" borderId="1" xfId="1" applyFont="1" applyBorder="1" applyAlignment="1">
      <alignment horizontal="right" vertical="center" wrapText="1"/>
    </xf>
    <xf numFmtId="43" fontId="5" fillId="0" borderId="2" xfId="1" applyFont="1" applyBorder="1" applyAlignment="1">
      <alignment vertical="top"/>
    </xf>
    <xf numFmtId="43" fontId="5" fillId="0" borderId="11" xfId="1" applyFont="1" applyBorder="1" applyAlignment="1">
      <alignment vertical="top"/>
    </xf>
    <xf numFmtId="43" fontId="5" fillId="0" borderId="1" xfId="0" applyNumberFormat="1" applyFont="1" applyBorder="1"/>
    <xf numFmtId="43" fontId="4" fillId="0" borderId="2" xfId="1" applyFont="1" applyBorder="1" applyAlignment="1">
      <alignment horizontal="left" vertical="top" wrapText="1"/>
    </xf>
    <xf numFmtId="43" fontId="4" fillId="0" borderId="11" xfId="1" applyFont="1" applyBorder="1" applyAlignment="1">
      <alignment horizontal="left" vertical="top" wrapText="1"/>
    </xf>
    <xf numFmtId="43" fontId="4" fillId="0" borderId="1" xfId="1" applyFont="1" applyBorder="1" applyAlignment="1">
      <alignment horizontal="left" vertical="top" wrapText="1"/>
    </xf>
    <xf numFmtId="43" fontId="4" fillId="0" borderId="1" xfId="1" applyFont="1" applyBorder="1" applyAlignment="1">
      <alignment horizontal="right" vertical="top"/>
    </xf>
    <xf numFmtId="43" fontId="4" fillId="0" borderId="1" xfId="1" applyFont="1" applyBorder="1" applyAlignment="1">
      <alignment horizontal="left" vertical="center"/>
    </xf>
    <xf numFmtId="43" fontId="6" fillId="0" borderId="2" xfId="1" applyFont="1" applyBorder="1" applyAlignment="1">
      <alignment horizontal="left" vertical="top" wrapText="1"/>
    </xf>
    <xf numFmtId="43" fontId="6" fillId="0" borderId="11" xfId="1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43" fontId="6" fillId="0" borderId="1" xfId="1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 wrapText="1"/>
    </xf>
    <xf numFmtId="0" fontId="4" fillId="0" borderId="8" xfId="1" applyNumberFormat="1" applyFont="1" applyBorder="1" applyAlignment="1">
      <alignment horizontal="left" vertical="top"/>
    </xf>
    <xf numFmtId="0" fontId="4" fillId="0" borderId="8" xfId="1" applyNumberFormat="1" applyFont="1" applyBorder="1" applyAlignment="1">
      <alignment horizontal="left" vertical="top" wrapText="1"/>
    </xf>
    <xf numFmtId="0" fontId="4" fillId="0" borderId="8" xfId="1" applyNumberFormat="1" applyFont="1" applyBorder="1" applyAlignment="1">
      <alignment horizontal="right" vertical="top" wrapText="1"/>
    </xf>
    <xf numFmtId="43" fontId="4" fillId="0" borderId="8" xfId="1" applyFont="1" applyBorder="1" applyAlignment="1">
      <alignment horizontal="right" vertical="top" wrapText="1"/>
    </xf>
    <xf numFmtId="49" fontId="4" fillId="0" borderId="8" xfId="1" applyNumberFormat="1" applyFont="1" applyBorder="1" applyAlignment="1">
      <alignment horizontal="left" vertical="top"/>
    </xf>
    <xf numFmtId="0" fontId="7" fillId="0" borderId="0" xfId="0" applyFont="1"/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8" fillId="0" borderId="7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 wrapText="1"/>
    </xf>
    <xf numFmtId="0" fontId="10" fillId="0" borderId="0" xfId="0" applyFont="1"/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left" vertical="top"/>
    </xf>
    <xf numFmtId="0" fontId="4" fillId="0" borderId="1" xfId="1" applyNumberFormat="1" applyFont="1" applyBorder="1" applyAlignment="1">
      <alignment horizontal="right" vertical="top" wrapText="1"/>
    </xf>
    <xf numFmtId="49" fontId="8" fillId="0" borderId="1" xfId="1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1" xfId="0" quotePrefix="1" applyFont="1" applyBorder="1" applyAlignment="1">
      <alignment horizontal="center" vertical="center" wrapText="1"/>
    </xf>
    <xf numFmtId="16" fontId="4" fillId="0" borderId="1" xfId="0" quotePrefix="1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1" applyNumberFormat="1" applyFont="1" applyBorder="1" applyAlignment="1">
      <alignment horizontal="left" vertical="center"/>
    </xf>
    <xf numFmtId="0" fontId="4" fillId="0" borderId="2" xfId="1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3" applyNumberFormat="1" applyFont="1" applyBorder="1" applyAlignment="1">
      <alignment horizontal="left" vertical="top"/>
    </xf>
    <xf numFmtId="0" fontId="4" fillId="0" borderId="13" xfId="3" applyNumberFormat="1" applyFont="1" applyBorder="1" applyAlignment="1">
      <alignment horizontal="right" vertical="top" wrapText="1"/>
    </xf>
    <xf numFmtId="0" fontId="4" fillId="0" borderId="0" xfId="3" applyNumberFormat="1" applyFont="1" applyBorder="1" applyAlignment="1">
      <alignment horizontal="right" vertical="top" wrapText="1"/>
    </xf>
    <xf numFmtId="43" fontId="4" fillId="0" borderId="0" xfId="3" applyFont="1" applyBorder="1" applyAlignment="1">
      <alignment horizontal="right" vertical="top" wrapText="1"/>
    </xf>
    <xf numFmtId="49" fontId="4" fillId="0" borderId="0" xfId="3" applyNumberFormat="1" applyFont="1" applyBorder="1" applyAlignment="1">
      <alignment horizontal="left" vertical="top"/>
    </xf>
    <xf numFmtId="16" fontId="4" fillId="0" borderId="8" xfId="0" quotePrefix="1" applyNumberFormat="1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3" applyNumberFormat="1" applyFont="1" applyBorder="1" applyAlignment="1">
      <alignment horizontal="left" vertical="center"/>
    </xf>
    <xf numFmtId="0" fontId="4" fillId="0" borderId="8" xfId="3" applyNumberFormat="1" applyFont="1" applyBorder="1" applyAlignment="1">
      <alignment horizontal="left" vertical="center" wrapText="1"/>
    </xf>
    <xf numFmtId="0" fontId="4" fillId="0" borderId="8" xfId="3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1" applyNumberFormat="1" applyFont="1" applyFill="1" applyBorder="1" applyAlignment="1">
      <alignment horizontal="left" vertical="center"/>
    </xf>
    <xf numFmtId="0" fontId="4" fillId="3" borderId="1" xfId="1" applyNumberFormat="1" applyFont="1" applyFill="1" applyBorder="1" applyAlignment="1">
      <alignment horizontal="center" vertical="center" wrapText="1"/>
    </xf>
    <xf numFmtId="49" fontId="4" fillId="3" borderId="1" xfId="1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7" xfId="0" applyFont="1" applyBorder="1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">
    <cellStyle name="Comma" xfId="1" builtinId="3"/>
    <cellStyle name="Comma 2" xfId="2" xr:uid="{C01CCB42-CA5B-4803-B9BF-FE6AEF6A3390}"/>
    <cellStyle name="Comma 3" xfId="3" xr:uid="{6E8A7A50-B313-485B-8696-B448316E0D6C}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516466</xdr:colOff>
      <xdr:row>0</xdr:row>
      <xdr:rowOff>114299</xdr:rowOff>
    </xdr:from>
    <xdr:to>
      <xdr:col>1</xdr:col>
      <xdr:colOff>1248834</xdr:colOff>
      <xdr:row>4</xdr:row>
      <xdr:rowOff>31750</xdr:rowOff>
    </xdr:to>
    <xdr:pic>
      <xdr:nvPicPr>
        <xdr:cNvPr id="2" name="Picture 1" descr="jawatimur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5716" y="114299"/>
          <a:ext cx="732368" cy="7323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500063</xdr:colOff>
      <xdr:row>0</xdr:row>
      <xdr:rowOff>71438</xdr:rowOff>
    </xdr:from>
    <xdr:to>
      <xdr:col>1</xdr:col>
      <xdr:colOff>1232431</xdr:colOff>
      <xdr:row>3</xdr:row>
      <xdr:rowOff>184681</xdr:rowOff>
    </xdr:to>
    <xdr:pic>
      <xdr:nvPicPr>
        <xdr:cNvPr id="2" name="Picture 1" descr="jawatimur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9626" y="71438"/>
          <a:ext cx="732368" cy="7323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464343</xdr:colOff>
      <xdr:row>0</xdr:row>
      <xdr:rowOff>47625</xdr:rowOff>
    </xdr:from>
    <xdr:to>
      <xdr:col>1</xdr:col>
      <xdr:colOff>1196711</xdr:colOff>
      <xdr:row>3</xdr:row>
      <xdr:rowOff>160868</xdr:rowOff>
    </xdr:to>
    <xdr:pic>
      <xdr:nvPicPr>
        <xdr:cNvPr id="2" name="Picture 1" descr="jawatimur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3906" y="47625"/>
          <a:ext cx="732368" cy="7323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511969</xdr:colOff>
      <xdr:row>0</xdr:row>
      <xdr:rowOff>47625</xdr:rowOff>
    </xdr:from>
    <xdr:to>
      <xdr:col>1</xdr:col>
      <xdr:colOff>1244337</xdr:colOff>
      <xdr:row>3</xdr:row>
      <xdr:rowOff>160868</xdr:rowOff>
    </xdr:to>
    <xdr:pic>
      <xdr:nvPicPr>
        <xdr:cNvPr id="2" name="Picture 1" descr="jawatimur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7719" y="47625"/>
          <a:ext cx="732368" cy="7323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488156</xdr:colOff>
      <xdr:row>0</xdr:row>
      <xdr:rowOff>83344</xdr:rowOff>
    </xdr:from>
    <xdr:to>
      <xdr:col>1</xdr:col>
      <xdr:colOff>1220524</xdr:colOff>
      <xdr:row>4</xdr:row>
      <xdr:rowOff>6087</xdr:rowOff>
    </xdr:to>
    <xdr:pic>
      <xdr:nvPicPr>
        <xdr:cNvPr id="2" name="Picture 1" descr="jawatimur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9625" y="83344"/>
          <a:ext cx="732368" cy="73236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63500</xdr:rowOff>
    </xdr:from>
    <xdr:to>
      <xdr:col>1</xdr:col>
      <xdr:colOff>1208618</xdr:colOff>
      <xdr:row>3</xdr:row>
      <xdr:rowOff>171451</xdr:rowOff>
    </xdr:to>
    <xdr:pic>
      <xdr:nvPicPr>
        <xdr:cNvPr id="2" name="Picture 1" descr="jawatimur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3750" y="63500"/>
          <a:ext cx="732368" cy="73236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635000</xdr:colOff>
      <xdr:row>0</xdr:row>
      <xdr:rowOff>63500</xdr:rowOff>
    </xdr:from>
    <xdr:to>
      <xdr:col>1</xdr:col>
      <xdr:colOff>1367368</xdr:colOff>
      <xdr:row>3</xdr:row>
      <xdr:rowOff>171451</xdr:rowOff>
    </xdr:to>
    <xdr:pic>
      <xdr:nvPicPr>
        <xdr:cNvPr id="2" name="Picture 1" descr="jawatimur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0" y="63500"/>
          <a:ext cx="732368" cy="73236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536465</xdr:colOff>
      <xdr:row>0</xdr:row>
      <xdr:rowOff>54741</xdr:rowOff>
    </xdr:from>
    <xdr:to>
      <xdr:col>1</xdr:col>
      <xdr:colOff>1268833</xdr:colOff>
      <xdr:row>3</xdr:row>
      <xdr:rowOff>174006</xdr:rowOff>
    </xdr:to>
    <xdr:pic>
      <xdr:nvPicPr>
        <xdr:cNvPr id="2" name="Picture 1" descr="jawatimur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6810" y="54741"/>
          <a:ext cx="732368" cy="73236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463717</xdr:colOff>
      <xdr:row>0</xdr:row>
      <xdr:rowOff>87730</xdr:rowOff>
    </xdr:from>
    <xdr:to>
      <xdr:col>1</xdr:col>
      <xdr:colOff>1196085</xdr:colOff>
      <xdr:row>4</xdr:row>
      <xdr:rowOff>17993</xdr:rowOff>
    </xdr:to>
    <xdr:pic>
      <xdr:nvPicPr>
        <xdr:cNvPr id="2" name="Picture 1" descr="jawatimur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7039" y="87730"/>
          <a:ext cx="732368" cy="73236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470065</xdr:colOff>
      <xdr:row>0</xdr:row>
      <xdr:rowOff>74220</xdr:rowOff>
    </xdr:from>
    <xdr:to>
      <xdr:col>1</xdr:col>
      <xdr:colOff>1202433</xdr:colOff>
      <xdr:row>4</xdr:row>
      <xdr:rowOff>14900</xdr:rowOff>
    </xdr:to>
    <xdr:pic>
      <xdr:nvPicPr>
        <xdr:cNvPr id="2" name="Picture 1" descr="jawatimur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9318" y="74220"/>
          <a:ext cx="732368" cy="73236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0</xdr:row>
      <xdr:rowOff>47625</xdr:rowOff>
    </xdr:from>
    <xdr:to>
      <xdr:col>1</xdr:col>
      <xdr:colOff>1256243</xdr:colOff>
      <xdr:row>3</xdr:row>
      <xdr:rowOff>160868</xdr:rowOff>
    </xdr:to>
    <xdr:pic>
      <xdr:nvPicPr>
        <xdr:cNvPr id="2" name="Picture 1" descr="jawatimur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9625" y="47625"/>
          <a:ext cx="732368" cy="73236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464344</xdr:colOff>
      <xdr:row>0</xdr:row>
      <xdr:rowOff>59531</xdr:rowOff>
    </xdr:from>
    <xdr:to>
      <xdr:col>1</xdr:col>
      <xdr:colOff>1196712</xdr:colOff>
      <xdr:row>3</xdr:row>
      <xdr:rowOff>172774</xdr:rowOff>
    </xdr:to>
    <xdr:pic>
      <xdr:nvPicPr>
        <xdr:cNvPr id="2" name="Picture 1" descr="jawatimur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5813" y="59531"/>
          <a:ext cx="732368" cy="73236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464344</xdr:colOff>
      <xdr:row>0</xdr:row>
      <xdr:rowOff>83343</xdr:rowOff>
    </xdr:from>
    <xdr:to>
      <xdr:col>1</xdr:col>
      <xdr:colOff>1196712</xdr:colOff>
      <xdr:row>4</xdr:row>
      <xdr:rowOff>6086</xdr:rowOff>
    </xdr:to>
    <xdr:pic>
      <xdr:nvPicPr>
        <xdr:cNvPr id="2" name="Picture 1" descr="jawatimur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3907" y="83343"/>
          <a:ext cx="732368" cy="73236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21166</xdr:rowOff>
    </xdr:from>
    <xdr:to>
      <xdr:col>1</xdr:col>
      <xdr:colOff>488951</xdr:colOff>
      <xdr:row>3</xdr:row>
      <xdr:rowOff>129117</xdr:rowOff>
    </xdr:to>
    <xdr:pic>
      <xdr:nvPicPr>
        <xdr:cNvPr id="2" name="Picture 1" descr="jawatimur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21166"/>
          <a:ext cx="732368" cy="73236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148167</xdr:colOff>
      <xdr:row>0</xdr:row>
      <xdr:rowOff>84667</xdr:rowOff>
    </xdr:from>
    <xdr:to>
      <xdr:col>2</xdr:col>
      <xdr:colOff>33868</xdr:colOff>
      <xdr:row>3</xdr:row>
      <xdr:rowOff>192618</xdr:rowOff>
    </xdr:to>
    <xdr:pic>
      <xdr:nvPicPr>
        <xdr:cNvPr id="2" name="Picture 1" descr="jawatimur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8167" y="84667"/>
          <a:ext cx="732368" cy="73236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499482</xdr:colOff>
      <xdr:row>0</xdr:row>
      <xdr:rowOff>69695</xdr:rowOff>
    </xdr:from>
    <xdr:to>
      <xdr:col>1</xdr:col>
      <xdr:colOff>1231850</xdr:colOff>
      <xdr:row>4</xdr:row>
      <xdr:rowOff>569</xdr:rowOff>
    </xdr:to>
    <xdr:pic>
      <xdr:nvPicPr>
        <xdr:cNvPr id="2" name="Picture 1" descr="jawatimur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6342" y="69695"/>
          <a:ext cx="732368" cy="73236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635000</xdr:colOff>
      <xdr:row>0</xdr:row>
      <xdr:rowOff>63500</xdr:rowOff>
    </xdr:from>
    <xdr:to>
      <xdr:col>1</xdr:col>
      <xdr:colOff>1367368</xdr:colOff>
      <xdr:row>3</xdr:row>
      <xdr:rowOff>171451</xdr:rowOff>
    </xdr:to>
    <xdr:pic>
      <xdr:nvPicPr>
        <xdr:cNvPr id="2" name="Picture 1" descr="jawatimur.png">
          <a:extLst>
            <a:ext uri="{FF2B5EF4-FFF2-40B4-BE49-F238E27FC236}">
              <a16:creationId xmlns:a16="http://schemas.microsoft.com/office/drawing/2014/main" id="{A5770306-FC08-4E45-A7E5-8E3921D67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49325" y="63500"/>
          <a:ext cx="732368" cy="72707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148167</xdr:colOff>
      <xdr:row>0</xdr:row>
      <xdr:rowOff>74084</xdr:rowOff>
    </xdr:from>
    <xdr:to>
      <xdr:col>2</xdr:col>
      <xdr:colOff>880535</xdr:colOff>
      <xdr:row>3</xdr:row>
      <xdr:rowOff>129119</xdr:rowOff>
    </xdr:to>
    <xdr:pic>
      <xdr:nvPicPr>
        <xdr:cNvPr id="2" name="Picture 1" descr="jawatimur.png">
          <a:extLst>
            <a:ext uri="{FF2B5EF4-FFF2-40B4-BE49-F238E27FC236}">
              <a16:creationId xmlns:a16="http://schemas.microsoft.com/office/drawing/2014/main" id="{DED2AAAB-B119-4A8E-90DD-FCCCC99D0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23167" y="74084"/>
          <a:ext cx="732368" cy="73236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79475B-DCA8-4C1A-AD90-C801FBDE28B1}" name="Table1" displayName="Table1" ref="A17:I70" totalsRowShown="0" headerRowDxfId="13" dataDxfId="11" headerRowBorderDxfId="12" tableBorderDxfId="10" totalsRowBorderDxfId="9">
  <autoFilter ref="A17:I70" xr:uid="{20DA61B2-8A44-49AD-9A0E-171DF6FF8DBA}"/>
  <tableColumns count="9">
    <tableColumn id="1" xr3:uid="{8F618946-06F2-43F5-83C6-815D94F89472}" name="1" dataDxfId="8"/>
    <tableColumn id="2" xr3:uid="{3BDF7B16-3933-4333-B4CD-AC3059434FA1}" name="2" dataDxfId="7"/>
    <tableColumn id="3" xr3:uid="{EC10505D-4963-47A8-BF60-9691AEFFAA62}" name="3" dataDxfId="6"/>
    <tableColumn id="4" xr3:uid="{830569E4-1BD3-4138-9975-BCC71F20E76B}" name="4" dataDxfId="5"/>
    <tableColumn id="5" xr3:uid="{5BE5115E-E4E0-4809-AF1D-F6FE827A2F7D}" name="5" dataDxfId="4" dataCellStyle="Comma"/>
    <tableColumn id="6" xr3:uid="{587AA510-5C8D-4E06-A103-8BE15BCCD662}" name="6" dataDxfId="3" dataCellStyle="Comma"/>
    <tableColumn id="7" xr3:uid="{17DAC62E-892C-4B3F-B825-CA5894E04B93}" name="7" dataDxfId="2" dataCellStyle="Comma"/>
    <tableColumn id="8" xr3:uid="{F1B669B5-9621-4257-B1F6-4888EE0845A6}" name="8" dataDxfId="1" dataCellStyle="Comma"/>
    <tableColumn id="9" xr3:uid="{A6869F63-6E51-4155-A053-70A196BE1589}" name="9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24"/>
  <sheetViews>
    <sheetView zoomScale="90" zoomScaleNormal="90" workbookViewId="0">
      <selection activeCell="A14" sqref="A14"/>
    </sheetView>
  </sheetViews>
  <sheetFormatPr defaultRowHeight="14.5" x14ac:dyDescent="0.35"/>
  <cols>
    <col min="1" max="1" width="5.26953125" customWidth="1"/>
    <col min="2" max="2" width="26.81640625" customWidth="1"/>
    <col min="3" max="3" width="18.26953125" customWidth="1"/>
    <col min="4" max="4" width="7.1796875" customWidth="1"/>
    <col min="5" max="5" width="25.26953125" customWidth="1"/>
    <col min="6" max="6" width="10.1796875" customWidth="1"/>
    <col min="7" max="7" width="7.81640625" customWidth="1"/>
    <col min="8" max="8" width="29" customWidth="1"/>
    <col min="9" max="9" width="15.1796875" customWidth="1"/>
    <col min="10" max="10" width="10.453125" customWidth="1"/>
    <col min="11" max="12" width="14.7265625" customWidth="1"/>
    <col min="13" max="13" width="11.54296875" customWidth="1"/>
    <col min="14" max="14" width="13.1796875" customWidth="1"/>
    <col min="15" max="15" width="9.54296875" customWidth="1"/>
    <col min="16" max="16" width="17.453125" customWidth="1"/>
  </cols>
  <sheetData>
    <row r="2" spans="1:16" ht="17.5" x14ac:dyDescent="0.35">
      <c r="C2" s="1" t="s">
        <v>0</v>
      </c>
    </row>
    <row r="3" spans="1:16" ht="15.5" x14ac:dyDescent="0.35">
      <c r="C3" s="2" t="s">
        <v>119</v>
      </c>
    </row>
    <row r="5" spans="1:16" x14ac:dyDescent="0.35">
      <c r="A5" t="s">
        <v>1</v>
      </c>
      <c r="C5" s="3" t="s">
        <v>2</v>
      </c>
    </row>
    <row r="6" spans="1:16" x14ac:dyDescent="0.35">
      <c r="A6" t="s">
        <v>3</v>
      </c>
      <c r="C6" s="3" t="s">
        <v>2</v>
      </c>
    </row>
    <row r="7" spans="1:16" x14ac:dyDescent="0.35">
      <c r="A7" t="s">
        <v>4</v>
      </c>
      <c r="C7" s="3" t="s">
        <v>2</v>
      </c>
    </row>
    <row r="8" spans="1:16" x14ac:dyDescent="0.35">
      <c r="A8" t="s">
        <v>5</v>
      </c>
      <c r="C8" s="3" t="s">
        <v>2</v>
      </c>
    </row>
    <row r="10" spans="1:16" x14ac:dyDescent="0.35">
      <c r="A10" s="170" t="s">
        <v>6</v>
      </c>
      <c r="B10" s="171" t="s">
        <v>7</v>
      </c>
      <c r="C10" s="174" t="s">
        <v>8</v>
      </c>
      <c r="D10" s="175"/>
      <c r="E10" s="167" t="s">
        <v>126</v>
      </c>
      <c r="F10" s="167" t="s">
        <v>9</v>
      </c>
      <c r="G10" s="167" t="s">
        <v>10</v>
      </c>
      <c r="H10" s="167" t="s">
        <v>11</v>
      </c>
      <c r="I10" s="178" t="s">
        <v>12</v>
      </c>
      <c r="J10" s="179"/>
      <c r="K10" s="180"/>
      <c r="L10" s="167" t="s">
        <v>13</v>
      </c>
      <c r="M10" s="167" t="s">
        <v>14</v>
      </c>
      <c r="N10" s="167" t="s">
        <v>15</v>
      </c>
      <c r="O10" s="181" t="s">
        <v>57</v>
      </c>
      <c r="P10" s="181" t="s">
        <v>16</v>
      </c>
    </row>
    <row r="11" spans="1:16" x14ac:dyDescent="0.35">
      <c r="A11" s="170"/>
      <c r="B11" s="172"/>
      <c r="C11" s="176"/>
      <c r="D11" s="177"/>
      <c r="E11" s="168"/>
      <c r="F11" s="168"/>
      <c r="G11" s="168"/>
      <c r="H11" s="168"/>
      <c r="I11" s="182" t="s">
        <v>17</v>
      </c>
      <c r="J11" s="178" t="s">
        <v>18</v>
      </c>
      <c r="K11" s="180"/>
      <c r="L11" s="168"/>
      <c r="M11" s="168"/>
      <c r="N11" s="168"/>
      <c r="O11" s="181"/>
      <c r="P11" s="181"/>
    </row>
    <row r="12" spans="1:16" x14ac:dyDescent="0.35">
      <c r="A12" s="170"/>
      <c r="B12" s="173"/>
      <c r="C12" s="4" t="s">
        <v>19</v>
      </c>
      <c r="D12" s="5" t="s">
        <v>20</v>
      </c>
      <c r="E12" s="169"/>
      <c r="F12" s="169"/>
      <c r="G12" s="169"/>
      <c r="H12" s="169"/>
      <c r="I12" s="183"/>
      <c r="J12" s="5" t="s">
        <v>21</v>
      </c>
      <c r="K12" s="5" t="s">
        <v>8</v>
      </c>
      <c r="L12" s="169"/>
      <c r="M12" s="169"/>
      <c r="N12" s="169"/>
      <c r="O12" s="181"/>
      <c r="P12" s="181"/>
    </row>
    <row r="13" spans="1:16" x14ac:dyDescent="0.35">
      <c r="A13" s="6">
        <v>1</v>
      </c>
      <c r="B13" s="6">
        <v>2</v>
      </c>
      <c r="C13" s="6">
        <v>3</v>
      </c>
      <c r="D13" s="6">
        <v>4</v>
      </c>
      <c r="E13" s="6">
        <v>5</v>
      </c>
      <c r="F13" s="6">
        <v>6</v>
      </c>
      <c r="G13" s="6">
        <v>7</v>
      </c>
      <c r="H13" s="6">
        <v>8</v>
      </c>
      <c r="I13" s="6">
        <v>9</v>
      </c>
      <c r="J13" s="6">
        <v>10</v>
      </c>
      <c r="K13" s="6">
        <v>11</v>
      </c>
      <c r="L13" s="6">
        <v>12</v>
      </c>
      <c r="M13" s="6">
        <v>13</v>
      </c>
      <c r="N13" s="6">
        <v>14</v>
      </c>
      <c r="O13" s="6">
        <v>15</v>
      </c>
      <c r="P13" s="6">
        <v>16</v>
      </c>
    </row>
    <row r="14" spans="1:16" x14ac:dyDescent="0.35">
      <c r="A14" s="7"/>
      <c r="B14" s="8"/>
      <c r="C14" s="8"/>
      <c r="D14" s="9"/>
      <c r="E14" s="9"/>
      <c r="F14" s="14"/>
      <c r="G14" s="11"/>
      <c r="H14" s="12"/>
      <c r="I14" s="12"/>
      <c r="J14" s="13"/>
      <c r="K14" s="12"/>
      <c r="L14" s="12"/>
      <c r="M14" s="12"/>
      <c r="N14" s="73"/>
      <c r="O14" s="88"/>
      <c r="P14" s="8"/>
    </row>
    <row r="15" spans="1:16" ht="7.5" customHeight="1" x14ac:dyDescent="0.35">
      <c r="A15" s="15"/>
      <c r="B15" s="16"/>
      <c r="C15" s="16"/>
      <c r="D15" s="17"/>
      <c r="E15" s="17"/>
      <c r="F15" s="22"/>
      <c r="G15" s="19"/>
      <c r="H15" s="20"/>
      <c r="I15" s="20"/>
      <c r="J15" s="21"/>
      <c r="K15" s="20"/>
      <c r="L15" s="20"/>
      <c r="M15" s="20"/>
      <c r="N15" s="74"/>
      <c r="O15" s="89"/>
      <c r="P15" s="16"/>
    </row>
    <row r="16" spans="1:16" x14ac:dyDescent="0.35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5" t="s">
        <v>22</v>
      </c>
      <c r="M16" s="26"/>
      <c r="N16" s="75">
        <f>SUM(N14:N15)</f>
        <v>0</v>
      </c>
      <c r="O16" s="87"/>
      <c r="P16" s="27"/>
    </row>
    <row r="18" spans="4:16" x14ac:dyDescent="0.35">
      <c r="D18" s="28" t="s">
        <v>23</v>
      </c>
      <c r="E18" s="28"/>
      <c r="F18" s="28"/>
      <c r="M18" s="149" t="s">
        <v>120</v>
      </c>
      <c r="N18" s="149"/>
      <c r="O18" s="149"/>
      <c r="P18" s="149"/>
    </row>
    <row r="19" spans="4:16" x14ac:dyDescent="0.35">
      <c r="D19" s="28" t="s">
        <v>24</v>
      </c>
      <c r="E19" s="28"/>
      <c r="F19" s="28"/>
      <c r="M19" s="149" t="s">
        <v>25</v>
      </c>
      <c r="N19" s="149"/>
      <c r="O19" s="149"/>
      <c r="P19" s="149"/>
    </row>
    <row r="20" spans="4:16" x14ac:dyDescent="0.35">
      <c r="N20" s="149"/>
      <c r="O20" s="149"/>
      <c r="P20" s="149"/>
    </row>
    <row r="23" spans="4:16" x14ac:dyDescent="0.35">
      <c r="D23" s="28" t="s">
        <v>26</v>
      </c>
      <c r="E23" s="28"/>
      <c r="F23" s="28"/>
      <c r="M23" s="149" t="s">
        <v>26</v>
      </c>
      <c r="N23" s="149"/>
      <c r="O23" s="149"/>
      <c r="P23" s="149"/>
    </row>
    <row r="24" spans="4:16" x14ac:dyDescent="0.35">
      <c r="D24" s="28" t="s">
        <v>27</v>
      </c>
      <c r="E24" s="28"/>
      <c r="F24" s="28"/>
      <c r="M24" s="149" t="s">
        <v>28</v>
      </c>
      <c r="N24" s="149"/>
      <c r="O24" s="149"/>
      <c r="P24" s="149"/>
    </row>
  </sheetData>
  <mergeCells count="20">
    <mergeCell ref="M24:P24"/>
    <mergeCell ref="N20:P20"/>
    <mergeCell ref="I10:K10"/>
    <mergeCell ref="L10:L12"/>
    <mergeCell ref="M10:M12"/>
    <mergeCell ref="N10:N12"/>
    <mergeCell ref="P10:P12"/>
    <mergeCell ref="I11:I12"/>
    <mergeCell ref="J11:K11"/>
    <mergeCell ref="O10:O12"/>
    <mergeCell ref="M18:P18"/>
    <mergeCell ref="M19:P19"/>
    <mergeCell ref="M23:P23"/>
    <mergeCell ref="H10:H12"/>
    <mergeCell ref="A10:A12"/>
    <mergeCell ref="B10:B12"/>
    <mergeCell ref="C10:D11"/>
    <mergeCell ref="F10:F12"/>
    <mergeCell ref="G10:G12"/>
    <mergeCell ref="E10:E12"/>
  </mergeCells>
  <pageMargins left="0.11811023622047245" right="0.11811023622047245" top="0.74803149606299213" bottom="0.55118110236220474" header="0.31496062992125984" footer="0.31496062992125984"/>
  <pageSetup paperSize="9" scale="62" orientation="landscape" horizontalDpi="1200" verticalDpi="1200" r:id="rId1"/>
  <headerFooter>
    <oddFooter>&amp;RHal. &amp;P dari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24"/>
  <sheetViews>
    <sheetView zoomScale="67" zoomScaleNormal="67" workbookViewId="0">
      <selection activeCell="A14" sqref="A14"/>
    </sheetView>
  </sheetViews>
  <sheetFormatPr defaultRowHeight="14.5" x14ac:dyDescent="0.35"/>
  <cols>
    <col min="1" max="1" width="4.7265625" customWidth="1"/>
    <col min="2" max="2" width="25" customWidth="1"/>
    <col min="3" max="3" width="25.453125" customWidth="1"/>
    <col min="4" max="4" width="7.1796875" customWidth="1"/>
    <col min="5" max="5" width="25.81640625" customWidth="1"/>
    <col min="6" max="6" width="11.1796875" customWidth="1"/>
    <col min="7" max="7" width="7.81640625" customWidth="1"/>
    <col min="8" max="8" width="15.1796875" customWidth="1"/>
    <col min="9" max="9" width="12.26953125" hidden="1" customWidth="1"/>
    <col min="10" max="10" width="7.7265625" customWidth="1"/>
    <col min="11" max="13" width="17.26953125" customWidth="1"/>
    <col min="14" max="14" width="10.54296875" customWidth="1"/>
    <col min="15" max="15" width="17" customWidth="1"/>
    <col min="16" max="16" width="12.54296875" customWidth="1"/>
    <col min="17" max="17" width="17.54296875" customWidth="1"/>
    <col min="18" max="18" width="16.26953125" customWidth="1"/>
    <col min="19" max="19" width="13.81640625" customWidth="1"/>
    <col min="20" max="20" width="10.7265625" customWidth="1"/>
    <col min="21" max="21" width="18" customWidth="1"/>
  </cols>
  <sheetData>
    <row r="2" spans="1:21" ht="17.5" x14ac:dyDescent="0.35">
      <c r="C2" s="1" t="s">
        <v>29</v>
      </c>
    </row>
    <row r="3" spans="1:21" ht="15.5" x14ac:dyDescent="0.35">
      <c r="C3" s="2" t="s">
        <v>119</v>
      </c>
    </row>
    <row r="5" spans="1:21" x14ac:dyDescent="0.35">
      <c r="A5" t="s">
        <v>1</v>
      </c>
    </row>
    <row r="6" spans="1:21" x14ac:dyDescent="0.35">
      <c r="A6" t="s">
        <v>3</v>
      </c>
    </row>
    <row r="7" spans="1:21" x14ac:dyDescent="0.35">
      <c r="A7" t="s">
        <v>4</v>
      </c>
    </row>
    <row r="8" spans="1:21" x14ac:dyDescent="0.35">
      <c r="A8" t="s">
        <v>5</v>
      </c>
    </row>
    <row r="9" spans="1:21" ht="8.25" customHeight="1" x14ac:dyDescent="0.35"/>
    <row r="10" spans="1:21" x14ac:dyDescent="0.35">
      <c r="A10" s="170" t="s">
        <v>6</v>
      </c>
      <c r="B10" s="171" t="s">
        <v>19</v>
      </c>
      <c r="C10" s="182" t="s">
        <v>7</v>
      </c>
      <c r="D10" s="167" t="s">
        <v>20</v>
      </c>
      <c r="E10" s="171" t="s">
        <v>126</v>
      </c>
      <c r="F10" s="167" t="s">
        <v>30</v>
      </c>
      <c r="G10" s="167" t="s">
        <v>31</v>
      </c>
      <c r="H10" s="167" t="s">
        <v>32</v>
      </c>
      <c r="I10" s="167" t="s">
        <v>33</v>
      </c>
      <c r="J10" s="167" t="s">
        <v>34</v>
      </c>
      <c r="K10" s="182" t="s">
        <v>8</v>
      </c>
      <c r="L10" s="185"/>
      <c r="M10" s="185"/>
      <c r="N10" s="185"/>
      <c r="O10" s="186"/>
      <c r="P10" s="167" t="s">
        <v>14</v>
      </c>
      <c r="Q10" s="167" t="s">
        <v>15</v>
      </c>
      <c r="R10" s="167" t="s">
        <v>124</v>
      </c>
      <c r="S10" s="167" t="s">
        <v>125</v>
      </c>
      <c r="T10" s="167" t="s">
        <v>57</v>
      </c>
      <c r="U10" s="167" t="s">
        <v>16</v>
      </c>
    </row>
    <row r="11" spans="1:21" x14ac:dyDescent="0.35">
      <c r="A11" s="170"/>
      <c r="B11" s="172"/>
      <c r="C11" s="184"/>
      <c r="D11" s="168"/>
      <c r="E11" s="172"/>
      <c r="F11" s="168"/>
      <c r="G11" s="168"/>
      <c r="H11" s="168"/>
      <c r="I11" s="168"/>
      <c r="J11" s="168"/>
      <c r="K11" s="184"/>
      <c r="L11" s="187"/>
      <c r="M11" s="187"/>
      <c r="N11" s="187"/>
      <c r="O11" s="188"/>
      <c r="P11" s="168"/>
      <c r="Q11" s="168"/>
      <c r="R11" s="168"/>
      <c r="S11" s="168"/>
      <c r="T11" s="168"/>
      <c r="U11" s="168"/>
    </row>
    <row r="12" spans="1:21" x14ac:dyDescent="0.35">
      <c r="A12" s="170"/>
      <c r="B12" s="173"/>
      <c r="C12" s="183"/>
      <c r="D12" s="169"/>
      <c r="E12" s="173"/>
      <c r="F12" s="169"/>
      <c r="G12" s="169"/>
      <c r="H12" s="169"/>
      <c r="I12" s="169"/>
      <c r="J12" s="169"/>
      <c r="K12" s="29" t="s">
        <v>35</v>
      </c>
      <c r="L12" s="29" t="s">
        <v>36</v>
      </c>
      <c r="M12" s="29" t="s">
        <v>37</v>
      </c>
      <c r="N12" s="29" t="s">
        <v>38</v>
      </c>
      <c r="O12" s="29" t="s">
        <v>39</v>
      </c>
      <c r="P12" s="169"/>
      <c r="Q12" s="169"/>
      <c r="R12" s="169"/>
      <c r="S12" s="169"/>
      <c r="T12" s="169"/>
      <c r="U12" s="169"/>
    </row>
    <row r="13" spans="1:21" x14ac:dyDescent="0.35">
      <c r="A13" s="6">
        <v>1</v>
      </c>
      <c r="B13" s="6">
        <v>2</v>
      </c>
      <c r="C13" s="6">
        <v>3</v>
      </c>
      <c r="D13" s="6">
        <v>4</v>
      </c>
      <c r="E13" s="6">
        <v>5</v>
      </c>
      <c r="F13" s="6">
        <v>6</v>
      </c>
      <c r="G13" s="6">
        <v>7</v>
      </c>
      <c r="H13" s="6">
        <v>8</v>
      </c>
      <c r="I13" s="6">
        <v>9</v>
      </c>
      <c r="J13" s="6">
        <v>10</v>
      </c>
      <c r="K13" s="6">
        <v>11</v>
      </c>
      <c r="L13" s="6">
        <v>12</v>
      </c>
      <c r="M13" s="6">
        <v>13</v>
      </c>
      <c r="N13" s="6">
        <v>14</v>
      </c>
      <c r="O13" s="6">
        <v>15</v>
      </c>
      <c r="P13" s="6">
        <v>16</v>
      </c>
      <c r="Q13" s="6">
        <v>17</v>
      </c>
      <c r="R13" s="6">
        <v>18</v>
      </c>
      <c r="S13" s="6">
        <v>19</v>
      </c>
      <c r="T13" s="6">
        <v>21</v>
      </c>
      <c r="U13" s="6">
        <v>22</v>
      </c>
    </row>
    <row r="14" spans="1:21" x14ac:dyDescent="0.35">
      <c r="A14" s="7"/>
      <c r="B14" s="8"/>
      <c r="C14" s="8"/>
      <c r="D14" s="30"/>
      <c r="E14" s="30"/>
      <c r="F14" s="12"/>
      <c r="G14" s="10"/>
      <c r="H14" s="12"/>
      <c r="I14" s="12"/>
      <c r="J14" s="10"/>
      <c r="K14" s="12"/>
      <c r="L14" s="12"/>
      <c r="M14" s="12"/>
      <c r="N14" s="12"/>
      <c r="O14" s="12"/>
      <c r="P14" s="12"/>
      <c r="Q14" s="76"/>
      <c r="R14" s="76"/>
      <c r="S14" s="76"/>
      <c r="T14" s="90"/>
      <c r="U14" s="8"/>
    </row>
    <row r="15" spans="1:21" ht="6.75" customHeight="1" x14ac:dyDescent="0.35">
      <c r="A15" s="15"/>
      <c r="B15" s="16"/>
      <c r="C15" s="16"/>
      <c r="D15" s="17"/>
      <c r="E15" s="17"/>
      <c r="F15" s="32"/>
      <c r="G15" s="18"/>
      <c r="H15" s="20"/>
      <c r="I15" s="20"/>
      <c r="J15" s="18"/>
      <c r="K15" s="20"/>
      <c r="L15" s="20"/>
      <c r="M15" s="20"/>
      <c r="N15" s="20"/>
      <c r="O15" s="20"/>
      <c r="P15" s="20"/>
      <c r="Q15" s="77"/>
      <c r="R15" s="77"/>
      <c r="S15" s="77"/>
      <c r="T15" s="91"/>
      <c r="U15" s="16"/>
    </row>
    <row r="16" spans="1:21" x14ac:dyDescent="0.35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34" t="s">
        <v>22</v>
      </c>
      <c r="P16" s="35"/>
      <c r="Q16" s="75">
        <f>SUM(Q14:Q15)</f>
        <v>0</v>
      </c>
      <c r="R16" s="75">
        <f>SUM(R14:R15)</f>
        <v>0</v>
      </c>
      <c r="S16" s="75">
        <f>SUM(S14:S15)</f>
        <v>0</v>
      </c>
      <c r="T16" s="92"/>
      <c r="U16" s="27"/>
    </row>
    <row r="18" spans="4:21" x14ac:dyDescent="0.35">
      <c r="D18" s="28" t="s">
        <v>23</v>
      </c>
      <c r="E18" s="28"/>
      <c r="F18" s="28"/>
      <c r="R18" t="s">
        <v>120</v>
      </c>
    </row>
    <row r="19" spans="4:21" x14ac:dyDescent="0.35">
      <c r="D19" s="28" t="s">
        <v>24</v>
      </c>
      <c r="E19" s="28"/>
      <c r="F19" s="28"/>
      <c r="Q19" s="149" t="s">
        <v>25</v>
      </c>
      <c r="R19" s="149"/>
      <c r="S19" s="149"/>
      <c r="T19" s="149"/>
      <c r="U19" s="149"/>
    </row>
    <row r="23" spans="4:21" x14ac:dyDescent="0.35">
      <c r="D23" s="28" t="s">
        <v>26</v>
      </c>
      <c r="E23" s="28"/>
      <c r="F23" s="28"/>
      <c r="Q23" s="149" t="s">
        <v>40</v>
      </c>
      <c r="R23" s="149"/>
      <c r="S23" s="149"/>
      <c r="T23" s="149"/>
      <c r="U23" s="149"/>
    </row>
    <row r="24" spans="4:21" x14ac:dyDescent="0.35">
      <c r="D24" s="28" t="s">
        <v>27</v>
      </c>
      <c r="E24" s="28"/>
      <c r="F24" s="28"/>
      <c r="Q24" s="149" t="s">
        <v>28</v>
      </c>
      <c r="R24" s="149"/>
      <c r="S24" s="149"/>
      <c r="T24" s="149"/>
      <c r="U24" s="149"/>
    </row>
  </sheetData>
  <mergeCells count="20">
    <mergeCell ref="U10:U12"/>
    <mergeCell ref="Q19:U19"/>
    <mergeCell ref="Q23:U23"/>
    <mergeCell ref="Q24:U24"/>
    <mergeCell ref="H10:H12"/>
    <mergeCell ref="I10:I12"/>
    <mergeCell ref="J10:J12"/>
    <mergeCell ref="K10:O11"/>
    <mergeCell ref="P10:P12"/>
    <mergeCell ref="Q10:Q12"/>
    <mergeCell ref="R10:R12"/>
    <mergeCell ref="S10:S12"/>
    <mergeCell ref="T10:T12"/>
    <mergeCell ref="G10:G12"/>
    <mergeCell ref="A10:A12"/>
    <mergeCell ref="B10:B12"/>
    <mergeCell ref="C10:C12"/>
    <mergeCell ref="D10:D12"/>
    <mergeCell ref="F10:F12"/>
    <mergeCell ref="E10:E12"/>
  </mergeCells>
  <printOptions horizontalCentered="1"/>
  <pageMargins left="0.11811023622047245" right="0.11811023622047245" top="0.55118110236220474" bottom="0.55118110236220474" header="0.31496062992125984" footer="0.31496062992125984"/>
  <pageSetup paperSize="9" scale="49" orientation="landscape" horizontalDpi="180" verticalDpi="180" r:id="rId1"/>
  <headerFooter>
    <oddFooter>&amp;RHal &amp;P dari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T24"/>
  <sheetViews>
    <sheetView zoomScale="68" zoomScaleNormal="68" workbookViewId="0">
      <selection activeCell="A14" sqref="A14"/>
    </sheetView>
  </sheetViews>
  <sheetFormatPr defaultRowHeight="14.5" x14ac:dyDescent="0.35"/>
  <cols>
    <col min="1" max="1" width="4.7265625" customWidth="1"/>
    <col min="2" max="2" width="24.7265625" customWidth="1"/>
    <col min="3" max="3" width="19.26953125" customWidth="1"/>
    <col min="4" max="4" width="7" customWidth="1"/>
    <col min="5" max="5" width="24.453125" customWidth="1"/>
    <col min="6" max="6" width="11.26953125" customWidth="1"/>
    <col min="7" max="7" width="10.26953125" customWidth="1"/>
    <col min="8" max="8" width="9" customWidth="1"/>
    <col min="9" max="9" width="8" customWidth="1"/>
    <col min="10" max="10" width="15.453125" customWidth="1"/>
    <col min="11" max="11" width="10.1796875" customWidth="1"/>
    <col min="12" max="12" width="15.453125" customWidth="1"/>
    <col min="13" max="13" width="9.453125" customWidth="1"/>
    <col min="14" max="14" width="12" customWidth="1"/>
    <col min="15" max="15" width="21.26953125" customWidth="1"/>
    <col min="16" max="16" width="12.26953125" customWidth="1"/>
    <col min="17" max="18" width="17.54296875" customWidth="1"/>
    <col min="19" max="19" width="15.81640625" customWidth="1"/>
    <col min="20" max="20" width="18" customWidth="1"/>
  </cols>
  <sheetData>
    <row r="2" spans="1:20" ht="17.5" x14ac:dyDescent="0.35">
      <c r="C2" s="1" t="s">
        <v>41</v>
      </c>
    </row>
    <row r="3" spans="1:20" ht="15.5" x14ac:dyDescent="0.35">
      <c r="C3" s="2" t="s">
        <v>119</v>
      </c>
    </row>
    <row r="5" spans="1:20" x14ac:dyDescent="0.35">
      <c r="A5" t="s">
        <v>1</v>
      </c>
    </row>
    <row r="6" spans="1:20" x14ac:dyDescent="0.35">
      <c r="A6" t="s">
        <v>3</v>
      </c>
    </row>
    <row r="7" spans="1:20" x14ac:dyDescent="0.35">
      <c r="A7" t="s">
        <v>4</v>
      </c>
    </row>
    <row r="8" spans="1:20" x14ac:dyDescent="0.35">
      <c r="A8" t="s">
        <v>5</v>
      </c>
    </row>
    <row r="9" spans="1:20" ht="6.75" customHeight="1" x14ac:dyDescent="0.35"/>
    <row r="10" spans="1:20" x14ac:dyDescent="0.35">
      <c r="A10" s="170" t="s">
        <v>6</v>
      </c>
      <c r="B10" s="167" t="s">
        <v>7</v>
      </c>
      <c r="C10" s="174" t="s">
        <v>8</v>
      </c>
      <c r="D10" s="175"/>
      <c r="E10" s="171" t="s">
        <v>126</v>
      </c>
      <c r="F10" s="167" t="s">
        <v>42</v>
      </c>
      <c r="G10" s="182" t="s">
        <v>43</v>
      </c>
      <c r="H10" s="186"/>
      <c r="I10" s="167" t="s">
        <v>44</v>
      </c>
      <c r="J10" s="182" t="s">
        <v>45</v>
      </c>
      <c r="K10" s="181" t="s">
        <v>46</v>
      </c>
      <c r="L10" s="181"/>
      <c r="M10" s="182" t="s">
        <v>47</v>
      </c>
      <c r="N10" s="181" t="s">
        <v>12</v>
      </c>
      <c r="O10" s="167" t="s">
        <v>48</v>
      </c>
      <c r="P10" s="167" t="s">
        <v>14</v>
      </c>
      <c r="Q10" s="167" t="s">
        <v>15</v>
      </c>
      <c r="R10" s="167" t="s">
        <v>124</v>
      </c>
      <c r="S10" s="167" t="s">
        <v>125</v>
      </c>
      <c r="T10" s="181" t="s">
        <v>16</v>
      </c>
    </row>
    <row r="11" spans="1:20" x14ac:dyDescent="0.35">
      <c r="A11" s="170"/>
      <c r="B11" s="168"/>
      <c r="C11" s="176"/>
      <c r="D11" s="177"/>
      <c r="E11" s="172"/>
      <c r="F11" s="168"/>
      <c r="G11" s="183"/>
      <c r="H11" s="189"/>
      <c r="I11" s="168"/>
      <c r="J11" s="184"/>
      <c r="K11" s="181"/>
      <c r="L11" s="181"/>
      <c r="M11" s="184"/>
      <c r="N11" s="181"/>
      <c r="O11" s="168"/>
      <c r="P11" s="168"/>
      <c r="Q11" s="168"/>
      <c r="R11" s="168"/>
      <c r="S11" s="168"/>
      <c r="T11" s="181"/>
    </row>
    <row r="12" spans="1:20" ht="29" x14ac:dyDescent="0.35">
      <c r="A12" s="170"/>
      <c r="B12" s="169"/>
      <c r="C12" s="4" t="s">
        <v>19</v>
      </c>
      <c r="D12" s="5" t="s">
        <v>49</v>
      </c>
      <c r="E12" s="173"/>
      <c r="F12" s="169"/>
      <c r="G12" s="5" t="s">
        <v>50</v>
      </c>
      <c r="H12" s="5" t="s">
        <v>51</v>
      </c>
      <c r="I12" s="169"/>
      <c r="J12" s="183"/>
      <c r="K12" s="29" t="s">
        <v>21</v>
      </c>
      <c r="L12" s="29" t="s">
        <v>8</v>
      </c>
      <c r="M12" s="183"/>
      <c r="N12" s="181"/>
      <c r="O12" s="169"/>
      <c r="P12" s="169"/>
      <c r="Q12" s="169"/>
      <c r="R12" s="169"/>
      <c r="S12" s="169"/>
      <c r="T12" s="181"/>
    </row>
    <row r="13" spans="1:20" x14ac:dyDescent="0.35">
      <c r="A13" s="6">
        <v>1</v>
      </c>
      <c r="B13" s="6">
        <v>2</v>
      </c>
      <c r="C13" s="6">
        <v>3</v>
      </c>
      <c r="D13" s="6">
        <v>4</v>
      </c>
      <c r="E13" s="6">
        <v>5</v>
      </c>
      <c r="F13" s="6">
        <v>6</v>
      </c>
      <c r="G13" s="6">
        <v>7</v>
      </c>
      <c r="H13" s="6">
        <v>8</v>
      </c>
      <c r="I13" s="6">
        <v>9</v>
      </c>
      <c r="J13" s="6">
        <v>10</v>
      </c>
      <c r="K13" s="6">
        <v>11</v>
      </c>
      <c r="L13" s="6">
        <v>12</v>
      </c>
      <c r="M13" s="6">
        <v>13</v>
      </c>
      <c r="N13" s="6">
        <v>14</v>
      </c>
      <c r="O13" s="6">
        <v>15</v>
      </c>
      <c r="P13" s="6">
        <v>16</v>
      </c>
      <c r="Q13" s="6">
        <v>17</v>
      </c>
      <c r="R13" s="6">
        <v>18</v>
      </c>
      <c r="S13" s="6">
        <v>19</v>
      </c>
      <c r="T13" s="6">
        <v>20</v>
      </c>
    </row>
    <row r="14" spans="1:20" x14ac:dyDescent="0.35">
      <c r="A14" s="7"/>
      <c r="B14" s="8"/>
      <c r="C14" s="8"/>
      <c r="D14" s="9"/>
      <c r="E14" s="9"/>
      <c r="F14" s="36"/>
      <c r="G14" s="12"/>
      <c r="H14" s="12"/>
      <c r="I14" s="14"/>
      <c r="J14" s="12"/>
      <c r="K14" s="13"/>
      <c r="L14" s="12"/>
      <c r="M14" s="14"/>
      <c r="N14" s="12"/>
      <c r="O14" s="12"/>
      <c r="P14" s="12"/>
      <c r="Q14" s="76"/>
      <c r="R14" s="76"/>
      <c r="S14" s="76"/>
      <c r="T14" s="8"/>
    </row>
    <row r="15" spans="1:20" ht="6" customHeight="1" x14ac:dyDescent="0.35">
      <c r="A15" s="15"/>
      <c r="B15" s="16"/>
      <c r="C15" s="16"/>
      <c r="D15" s="17"/>
      <c r="E15" s="17"/>
      <c r="F15" s="32"/>
      <c r="G15" s="20"/>
      <c r="H15" s="20"/>
      <c r="I15" s="22"/>
      <c r="J15" s="20"/>
      <c r="K15" s="21"/>
      <c r="L15" s="20"/>
      <c r="M15" s="22"/>
      <c r="N15" s="20"/>
      <c r="O15" s="20"/>
      <c r="P15" s="20"/>
      <c r="Q15" s="77"/>
      <c r="R15" s="77"/>
      <c r="S15" s="77"/>
      <c r="T15" s="16"/>
    </row>
    <row r="16" spans="1:20" x14ac:dyDescent="0.35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34" t="s">
        <v>22</v>
      </c>
      <c r="P16" s="35"/>
      <c r="Q16" s="75">
        <f>SUM(Q14:Q15)</f>
        <v>0</v>
      </c>
      <c r="R16" s="75">
        <f t="shared" ref="R16:S16" si="0">SUM(R14:R15)</f>
        <v>0</v>
      </c>
      <c r="S16" s="75">
        <f t="shared" si="0"/>
        <v>0</v>
      </c>
      <c r="T16" s="27"/>
    </row>
    <row r="18" spans="4:20" x14ac:dyDescent="0.35">
      <c r="D18" s="28" t="s">
        <v>23</v>
      </c>
      <c r="E18" s="28"/>
      <c r="F18" s="28"/>
      <c r="Q18" s="149" t="s">
        <v>120</v>
      </c>
      <c r="R18" s="149"/>
      <c r="S18" s="149"/>
      <c r="T18" s="149"/>
    </row>
    <row r="19" spans="4:20" x14ac:dyDescent="0.35">
      <c r="D19" s="28" t="s">
        <v>24</v>
      </c>
      <c r="E19" s="28"/>
      <c r="F19" s="28"/>
      <c r="Q19" s="149" t="s">
        <v>25</v>
      </c>
      <c r="R19" s="149"/>
      <c r="S19" s="149"/>
      <c r="T19" s="149"/>
    </row>
    <row r="23" spans="4:20" x14ac:dyDescent="0.35">
      <c r="D23" s="28" t="s">
        <v>26</v>
      </c>
      <c r="E23" s="28"/>
      <c r="F23" s="28"/>
      <c r="Q23" s="149" t="s">
        <v>40</v>
      </c>
      <c r="R23" s="149"/>
      <c r="S23" s="149"/>
      <c r="T23" s="149"/>
    </row>
    <row r="24" spans="4:20" x14ac:dyDescent="0.35">
      <c r="D24" s="28" t="s">
        <v>27</v>
      </c>
      <c r="E24" s="28"/>
      <c r="F24" s="28"/>
      <c r="Q24" s="149" t="s">
        <v>28</v>
      </c>
      <c r="R24" s="149"/>
      <c r="S24" s="149"/>
      <c r="T24" s="149"/>
    </row>
  </sheetData>
  <mergeCells count="21">
    <mergeCell ref="Q24:T24"/>
    <mergeCell ref="J10:J12"/>
    <mergeCell ref="K10:L11"/>
    <mergeCell ref="M10:M12"/>
    <mergeCell ref="N10:N12"/>
    <mergeCell ref="O10:O12"/>
    <mergeCell ref="P10:P12"/>
    <mergeCell ref="Q10:Q12"/>
    <mergeCell ref="T10:T12"/>
    <mergeCell ref="Q18:T18"/>
    <mergeCell ref="Q19:T19"/>
    <mergeCell ref="Q23:T23"/>
    <mergeCell ref="R10:R12"/>
    <mergeCell ref="S10:S12"/>
    <mergeCell ref="I10:I12"/>
    <mergeCell ref="A10:A12"/>
    <mergeCell ref="B10:B12"/>
    <mergeCell ref="C10:D11"/>
    <mergeCell ref="F10:F12"/>
    <mergeCell ref="G10:H11"/>
    <mergeCell ref="E10:E12"/>
  </mergeCells>
  <printOptions horizontalCentered="1"/>
  <pageMargins left="0.11811023622047245" right="0.11811023622047245" top="0.55118110236220474" bottom="0.55118110236220474" header="0.31496062992125984" footer="0.31496062992125984"/>
  <pageSetup paperSize="9" scale="51" orientation="landscape" horizontalDpi="0" verticalDpi="0" r:id="rId1"/>
  <headerFooter>
    <oddFooter>&amp;RHal &amp;P dari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4"/>
  <sheetViews>
    <sheetView zoomScale="67" zoomScaleNormal="67" workbookViewId="0">
      <selection activeCell="A14" sqref="A14"/>
    </sheetView>
  </sheetViews>
  <sheetFormatPr defaultRowHeight="14.5" x14ac:dyDescent="0.35"/>
  <cols>
    <col min="1" max="1" width="4.26953125" customWidth="1"/>
    <col min="2" max="2" width="25.81640625" customWidth="1"/>
    <col min="3" max="3" width="20" customWidth="1"/>
    <col min="4" max="4" width="9.1796875" customWidth="1"/>
    <col min="5" max="5" width="21.81640625" customWidth="1"/>
    <col min="6" max="6" width="11.26953125" customWidth="1"/>
    <col min="7" max="8" width="8.453125" customWidth="1"/>
    <col min="9" max="9" width="10" customWidth="1"/>
    <col min="10" max="10" width="21" customWidth="1"/>
    <col min="11" max="11" width="10" customWidth="1"/>
    <col min="12" max="12" width="16.7265625" customWidth="1"/>
    <col min="13" max="13" width="9.7265625" customWidth="1"/>
    <col min="14" max="14" width="21.54296875" customWidth="1"/>
    <col min="15" max="15" width="11.7265625" customWidth="1"/>
    <col min="16" max="17" width="17.1796875" customWidth="1"/>
    <col min="18" max="18" width="14.54296875" customWidth="1"/>
    <col min="19" max="19" width="10.54296875" customWidth="1"/>
    <col min="20" max="20" width="15.453125" customWidth="1"/>
  </cols>
  <sheetData>
    <row r="1" spans="1:20" x14ac:dyDescent="0.35">
      <c r="F1" s="55"/>
      <c r="G1" s="55"/>
      <c r="H1" s="55"/>
      <c r="I1" s="55"/>
      <c r="J1" s="55"/>
      <c r="K1" s="55"/>
      <c r="L1" s="55"/>
    </row>
    <row r="2" spans="1:20" ht="17.5" x14ac:dyDescent="0.35">
      <c r="C2" s="1" t="s">
        <v>52</v>
      </c>
      <c r="F2" s="55"/>
      <c r="G2" s="55"/>
      <c r="H2" s="55"/>
      <c r="I2" s="55"/>
      <c r="J2" s="55"/>
      <c r="K2" s="55"/>
      <c r="L2" s="55"/>
    </row>
    <row r="3" spans="1:20" ht="15.5" x14ac:dyDescent="0.35">
      <c r="C3" s="2" t="s">
        <v>119</v>
      </c>
      <c r="F3" s="55"/>
      <c r="G3" s="55"/>
      <c r="H3" s="55"/>
      <c r="I3" s="55"/>
      <c r="J3" s="55"/>
      <c r="K3" s="55"/>
      <c r="L3" s="55"/>
    </row>
    <row r="4" spans="1:20" x14ac:dyDescent="0.35">
      <c r="F4" s="55"/>
      <c r="G4" s="55"/>
      <c r="H4" s="55"/>
      <c r="I4" s="55"/>
      <c r="J4" s="55"/>
      <c r="K4" s="55"/>
      <c r="L4" s="55"/>
    </row>
    <row r="5" spans="1:20" x14ac:dyDescent="0.35">
      <c r="A5" t="s">
        <v>1</v>
      </c>
      <c r="F5" s="55"/>
      <c r="G5" s="55"/>
      <c r="H5" s="55"/>
      <c r="I5" s="55"/>
      <c r="J5" s="55"/>
      <c r="K5" s="55"/>
      <c r="L5" s="55"/>
    </row>
    <row r="6" spans="1:20" x14ac:dyDescent="0.35">
      <c r="A6" t="s">
        <v>3</v>
      </c>
    </row>
    <row r="7" spans="1:20" x14ac:dyDescent="0.35">
      <c r="A7" t="s">
        <v>4</v>
      </c>
    </row>
    <row r="8" spans="1:20" x14ac:dyDescent="0.35">
      <c r="A8" t="s">
        <v>5</v>
      </c>
    </row>
    <row r="10" spans="1:20" x14ac:dyDescent="0.35">
      <c r="A10" s="170" t="s">
        <v>6</v>
      </c>
      <c r="B10" s="167" t="s">
        <v>7</v>
      </c>
      <c r="C10" s="174" t="s">
        <v>8</v>
      </c>
      <c r="D10" s="175"/>
      <c r="E10" s="171" t="s">
        <v>126</v>
      </c>
      <c r="F10" s="167" t="s">
        <v>53</v>
      </c>
      <c r="G10" s="167" t="s">
        <v>54</v>
      </c>
      <c r="H10" s="167" t="s">
        <v>55</v>
      </c>
      <c r="I10" s="167" t="s">
        <v>47</v>
      </c>
      <c r="J10" s="182" t="s">
        <v>45</v>
      </c>
      <c r="K10" s="181" t="s">
        <v>46</v>
      </c>
      <c r="L10" s="181"/>
      <c r="M10" s="182" t="s">
        <v>12</v>
      </c>
      <c r="N10" s="181" t="s">
        <v>48</v>
      </c>
      <c r="O10" s="167" t="s">
        <v>56</v>
      </c>
      <c r="P10" s="167" t="s">
        <v>15</v>
      </c>
      <c r="Q10" s="167" t="s">
        <v>124</v>
      </c>
      <c r="R10" s="167" t="s">
        <v>125</v>
      </c>
      <c r="S10" s="167" t="s">
        <v>57</v>
      </c>
      <c r="T10" s="181" t="s">
        <v>16</v>
      </c>
    </row>
    <row r="11" spans="1:20" x14ac:dyDescent="0.35">
      <c r="A11" s="170"/>
      <c r="B11" s="168"/>
      <c r="C11" s="176"/>
      <c r="D11" s="177"/>
      <c r="E11" s="172"/>
      <c r="F11" s="168"/>
      <c r="G11" s="168"/>
      <c r="H11" s="168"/>
      <c r="I11" s="168"/>
      <c r="J11" s="184"/>
      <c r="K11" s="181"/>
      <c r="L11" s="181"/>
      <c r="M11" s="184"/>
      <c r="N11" s="181"/>
      <c r="O11" s="168"/>
      <c r="P11" s="168"/>
      <c r="Q11" s="168"/>
      <c r="R11" s="168"/>
      <c r="S11" s="168"/>
      <c r="T11" s="181"/>
    </row>
    <row r="12" spans="1:20" x14ac:dyDescent="0.35">
      <c r="A12" s="170"/>
      <c r="B12" s="169"/>
      <c r="C12" s="4" t="s">
        <v>19</v>
      </c>
      <c r="D12" s="5" t="s">
        <v>49</v>
      </c>
      <c r="E12" s="173"/>
      <c r="F12" s="169"/>
      <c r="G12" s="169"/>
      <c r="H12" s="169"/>
      <c r="I12" s="169"/>
      <c r="J12" s="183"/>
      <c r="K12" s="29" t="s">
        <v>21</v>
      </c>
      <c r="L12" s="29" t="s">
        <v>8</v>
      </c>
      <c r="M12" s="183"/>
      <c r="N12" s="181"/>
      <c r="O12" s="169"/>
      <c r="P12" s="169"/>
      <c r="Q12" s="169"/>
      <c r="R12" s="169"/>
      <c r="S12" s="169"/>
      <c r="T12" s="181"/>
    </row>
    <row r="13" spans="1:20" x14ac:dyDescent="0.35">
      <c r="A13" s="6">
        <v>1</v>
      </c>
      <c r="B13" s="6">
        <v>2</v>
      </c>
      <c r="C13" s="6">
        <v>3</v>
      </c>
      <c r="D13" s="6">
        <v>4</v>
      </c>
      <c r="E13" s="6">
        <v>5</v>
      </c>
      <c r="F13" s="6">
        <v>6</v>
      </c>
      <c r="G13" s="6">
        <v>7</v>
      </c>
      <c r="H13" s="6">
        <v>8</v>
      </c>
      <c r="I13" s="6">
        <v>9</v>
      </c>
      <c r="J13" s="6">
        <v>10</v>
      </c>
      <c r="K13" s="6">
        <v>11</v>
      </c>
      <c r="L13" s="6">
        <v>12</v>
      </c>
      <c r="M13" s="6">
        <v>13</v>
      </c>
      <c r="N13" s="6">
        <v>14</v>
      </c>
      <c r="O13" s="6">
        <v>15</v>
      </c>
      <c r="P13" s="6">
        <v>16</v>
      </c>
      <c r="Q13" s="6">
        <v>17</v>
      </c>
      <c r="R13" s="6">
        <v>18</v>
      </c>
      <c r="S13" s="6">
        <v>19</v>
      </c>
      <c r="T13" s="6">
        <v>20</v>
      </c>
    </row>
    <row r="14" spans="1:20" x14ac:dyDescent="0.35">
      <c r="A14" s="7"/>
      <c r="B14" s="8"/>
      <c r="C14" s="8"/>
      <c r="D14" s="9"/>
      <c r="E14" s="9"/>
      <c r="F14" s="36"/>
      <c r="G14" s="14"/>
      <c r="H14" s="14"/>
      <c r="I14" s="14"/>
      <c r="J14" s="12"/>
      <c r="K14" s="13"/>
      <c r="L14" s="12"/>
      <c r="M14" s="37"/>
      <c r="N14" s="12"/>
      <c r="O14" s="12"/>
      <c r="P14" s="73"/>
      <c r="Q14" s="73"/>
      <c r="R14" s="73"/>
      <c r="S14" s="12"/>
      <c r="T14" s="8"/>
    </row>
    <row r="15" spans="1:20" ht="5.25" customHeight="1" x14ac:dyDescent="0.35">
      <c r="A15" s="15"/>
      <c r="B15" s="16"/>
      <c r="C15" s="16"/>
      <c r="D15" s="17"/>
      <c r="E15" s="17"/>
      <c r="F15" s="32"/>
      <c r="G15" s="22"/>
      <c r="H15" s="22"/>
      <c r="I15" s="22"/>
      <c r="J15" s="20"/>
      <c r="K15" s="21"/>
      <c r="L15" s="20"/>
      <c r="M15" s="38"/>
      <c r="N15" s="20"/>
      <c r="O15" s="20"/>
      <c r="P15" s="74"/>
      <c r="Q15" s="74"/>
      <c r="R15" s="74"/>
      <c r="S15" s="20"/>
      <c r="T15" s="16"/>
    </row>
    <row r="16" spans="1:20" x14ac:dyDescent="0.35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34" t="s">
        <v>22</v>
      </c>
      <c r="O16" s="26"/>
      <c r="P16" s="78">
        <f>SUM(P14:P15)</f>
        <v>0</v>
      </c>
      <c r="Q16" s="78">
        <f t="shared" ref="Q16:R16" si="0">SUM(Q14:Q15)</f>
        <v>0</v>
      </c>
      <c r="R16" s="78">
        <f t="shared" si="0"/>
        <v>0</v>
      </c>
      <c r="S16" s="54"/>
      <c r="T16" s="27"/>
    </row>
    <row r="18" spans="4:17" x14ac:dyDescent="0.35">
      <c r="D18" s="28" t="s">
        <v>23</v>
      </c>
      <c r="E18" s="28"/>
      <c r="F18" s="28"/>
      <c r="P18" t="s">
        <v>120</v>
      </c>
    </row>
    <row r="19" spans="4:17" x14ac:dyDescent="0.35">
      <c r="D19" s="28" t="s">
        <v>24</v>
      </c>
      <c r="E19" s="28"/>
      <c r="F19" s="28"/>
      <c r="Q19" s="28" t="s">
        <v>25</v>
      </c>
    </row>
    <row r="21" spans="4:17" x14ac:dyDescent="0.35">
      <c r="Q21" s="28"/>
    </row>
    <row r="22" spans="4:17" x14ac:dyDescent="0.35">
      <c r="Q22" s="28"/>
    </row>
    <row r="23" spans="4:17" x14ac:dyDescent="0.35">
      <c r="D23" s="28" t="s">
        <v>26</v>
      </c>
      <c r="E23" s="28"/>
      <c r="F23" s="28"/>
      <c r="Q23" s="28" t="s">
        <v>40</v>
      </c>
    </row>
    <row r="24" spans="4:17" x14ac:dyDescent="0.35">
      <c r="D24" s="28" t="s">
        <v>27</v>
      </c>
      <c r="E24" s="28"/>
      <c r="F24" s="28"/>
      <c r="Q24" s="28" t="s">
        <v>28</v>
      </c>
    </row>
  </sheetData>
  <mergeCells count="18">
    <mergeCell ref="P10:P12"/>
    <mergeCell ref="S10:S12"/>
    <mergeCell ref="T10:T12"/>
    <mergeCell ref="I10:I12"/>
    <mergeCell ref="J10:J12"/>
    <mergeCell ref="K10:L11"/>
    <mergeCell ref="M10:M12"/>
    <mergeCell ref="N10:N12"/>
    <mergeCell ref="O10:O12"/>
    <mergeCell ref="Q10:Q12"/>
    <mergeCell ref="R10:R12"/>
    <mergeCell ref="H10:H12"/>
    <mergeCell ref="A10:A12"/>
    <mergeCell ref="B10:B12"/>
    <mergeCell ref="C10:D11"/>
    <mergeCell ref="F10:F12"/>
    <mergeCell ref="G10:G12"/>
    <mergeCell ref="E10:E12"/>
  </mergeCells>
  <printOptions horizontalCentered="1"/>
  <pageMargins left="0.11811023622047245" right="0.11811023622047245" top="0.55118110236220474" bottom="0.55118110236220474" header="0.31496062992125984" footer="0.31496062992125984"/>
  <pageSetup paperSize="9" scale="51" orientation="landscape" horizontalDpi="0" verticalDpi="0" r:id="rId1"/>
  <headerFooter>
    <oddFooter>&amp;RHal &amp;P dari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T24"/>
  <sheetViews>
    <sheetView zoomScale="65" zoomScaleNormal="65" workbookViewId="0">
      <selection activeCell="A14" sqref="A14"/>
    </sheetView>
  </sheetViews>
  <sheetFormatPr defaultRowHeight="14.5" x14ac:dyDescent="0.35"/>
  <cols>
    <col min="1" max="1" width="4.81640625" customWidth="1"/>
    <col min="2" max="2" width="24.54296875" customWidth="1"/>
    <col min="3" max="3" width="19.26953125" customWidth="1"/>
    <col min="4" max="4" width="7.81640625" customWidth="1"/>
    <col min="5" max="5" width="22.1796875" customWidth="1"/>
    <col min="6" max="7" width="14.453125" customWidth="1"/>
    <col min="8" max="10" width="12.7265625" customWidth="1"/>
    <col min="11" max="11" width="15" customWidth="1"/>
    <col min="12" max="12" width="16.7265625" customWidth="1"/>
    <col min="15" max="15" width="12.453125" customWidth="1"/>
    <col min="16" max="17" width="17.1796875" customWidth="1"/>
    <col min="18" max="18" width="14.7265625" customWidth="1"/>
    <col min="19" max="19" width="11.81640625" customWidth="1"/>
    <col min="20" max="20" width="15.453125" customWidth="1"/>
  </cols>
  <sheetData>
    <row r="2" spans="1:20" ht="17.5" x14ac:dyDescent="0.35">
      <c r="C2" s="1" t="s">
        <v>58</v>
      </c>
    </row>
    <row r="3" spans="1:20" ht="15.5" x14ac:dyDescent="0.35">
      <c r="C3" s="2" t="s">
        <v>119</v>
      </c>
    </row>
    <row r="5" spans="1:20" x14ac:dyDescent="0.35">
      <c r="A5" t="s">
        <v>1</v>
      </c>
    </row>
    <row r="6" spans="1:20" x14ac:dyDescent="0.35">
      <c r="A6" t="s">
        <v>3</v>
      </c>
    </row>
    <row r="7" spans="1:20" x14ac:dyDescent="0.35">
      <c r="A7" t="s">
        <v>4</v>
      </c>
    </row>
    <row r="8" spans="1:20" x14ac:dyDescent="0.35">
      <c r="A8" t="s">
        <v>5</v>
      </c>
    </row>
    <row r="10" spans="1:20" x14ac:dyDescent="0.35">
      <c r="A10" s="170" t="s">
        <v>6</v>
      </c>
      <c r="B10" s="167" t="s">
        <v>7</v>
      </c>
      <c r="C10" s="174" t="s">
        <v>8</v>
      </c>
      <c r="D10" s="175"/>
      <c r="E10" s="171" t="s">
        <v>126</v>
      </c>
      <c r="F10" s="182" t="s">
        <v>59</v>
      </c>
      <c r="G10" s="186"/>
      <c r="H10" s="182" t="s">
        <v>60</v>
      </c>
      <c r="I10" s="185"/>
      <c r="J10" s="186"/>
      <c r="K10" s="181" t="s">
        <v>61</v>
      </c>
      <c r="L10" s="181"/>
      <c r="M10" s="182" t="s">
        <v>22</v>
      </c>
      <c r="N10" s="181" t="s">
        <v>62</v>
      </c>
      <c r="O10" s="167" t="s">
        <v>56</v>
      </c>
      <c r="P10" s="167" t="s">
        <v>15</v>
      </c>
      <c r="Q10" s="167" t="s">
        <v>124</v>
      </c>
      <c r="R10" s="167" t="s">
        <v>125</v>
      </c>
      <c r="S10" s="181" t="s">
        <v>57</v>
      </c>
      <c r="T10" s="181" t="s">
        <v>16</v>
      </c>
    </row>
    <row r="11" spans="1:20" x14ac:dyDescent="0.35">
      <c r="A11" s="170"/>
      <c r="B11" s="168"/>
      <c r="C11" s="176"/>
      <c r="D11" s="177"/>
      <c r="E11" s="172"/>
      <c r="F11" s="183"/>
      <c r="G11" s="189"/>
      <c r="H11" s="183"/>
      <c r="I11" s="190"/>
      <c r="J11" s="189"/>
      <c r="K11" s="181"/>
      <c r="L11" s="181"/>
      <c r="M11" s="184"/>
      <c r="N11" s="181"/>
      <c r="O11" s="168"/>
      <c r="P11" s="168"/>
      <c r="Q11" s="168"/>
      <c r="R11" s="168"/>
      <c r="S11" s="181"/>
      <c r="T11" s="181"/>
    </row>
    <row r="12" spans="1:20" x14ac:dyDescent="0.35">
      <c r="A12" s="170"/>
      <c r="B12" s="169"/>
      <c r="C12" s="4" t="s">
        <v>19</v>
      </c>
      <c r="D12" s="5" t="s">
        <v>49</v>
      </c>
      <c r="E12" s="173"/>
      <c r="F12" s="5" t="s">
        <v>63</v>
      </c>
      <c r="G12" s="5" t="s">
        <v>64</v>
      </c>
      <c r="H12" s="5" t="s">
        <v>65</v>
      </c>
      <c r="I12" s="5" t="s">
        <v>66</v>
      </c>
      <c r="J12" s="5" t="s">
        <v>32</v>
      </c>
      <c r="K12" s="29" t="s">
        <v>67</v>
      </c>
      <c r="L12" s="29" t="s">
        <v>68</v>
      </c>
      <c r="M12" s="183"/>
      <c r="N12" s="181"/>
      <c r="O12" s="169"/>
      <c r="P12" s="169"/>
      <c r="Q12" s="169"/>
      <c r="R12" s="169"/>
      <c r="S12" s="181"/>
      <c r="T12" s="181"/>
    </row>
    <row r="13" spans="1:20" x14ac:dyDescent="0.35">
      <c r="A13" s="6">
        <v>1</v>
      </c>
      <c r="B13" s="6">
        <v>2</v>
      </c>
      <c r="C13" s="6">
        <v>3</v>
      </c>
      <c r="D13" s="6">
        <v>4</v>
      </c>
      <c r="E13" s="6">
        <v>5</v>
      </c>
      <c r="F13" s="6">
        <v>6</v>
      </c>
      <c r="G13" s="6">
        <v>7</v>
      </c>
      <c r="H13" s="6">
        <v>8</v>
      </c>
      <c r="I13" s="6">
        <v>9</v>
      </c>
      <c r="J13" s="6">
        <v>10</v>
      </c>
      <c r="K13" s="6">
        <v>11</v>
      </c>
      <c r="L13" s="6">
        <v>12</v>
      </c>
      <c r="M13" s="6">
        <v>13</v>
      </c>
      <c r="N13" s="6">
        <v>14</v>
      </c>
      <c r="O13" s="6">
        <v>15</v>
      </c>
      <c r="P13" s="6">
        <v>16</v>
      </c>
      <c r="Q13" s="6">
        <v>17</v>
      </c>
      <c r="R13" s="6">
        <v>18</v>
      </c>
      <c r="S13" s="6">
        <v>19</v>
      </c>
      <c r="T13" s="6">
        <v>20</v>
      </c>
    </row>
    <row r="14" spans="1:20" x14ac:dyDescent="0.35">
      <c r="A14" s="7"/>
      <c r="B14" s="8"/>
      <c r="C14" s="8"/>
      <c r="D14" s="9"/>
      <c r="E14" s="9"/>
      <c r="F14" s="12"/>
      <c r="G14" s="12"/>
      <c r="H14" s="12"/>
      <c r="I14" s="12"/>
      <c r="J14" s="12"/>
      <c r="K14" s="12"/>
      <c r="L14" s="12"/>
      <c r="M14" s="59"/>
      <c r="N14" s="10"/>
      <c r="O14" s="12"/>
      <c r="P14" s="73"/>
      <c r="Q14" s="73"/>
      <c r="R14" s="73"/>
      <c r="S14" s="88"/>
      <c r="T14" s="8"/>
    </row>
    <row r="15" spans="1:20" ht="6.75" customHeight="1" x14ac:dyDescent="0.35">
      <c r="A15" s="15"/>
      <c r="B15" s="16"/>
      <c r="C15" s="16"/>
      <c r="D15" s="17"/>
      <c r="E15" s="17"/>
      <c r="F15" s="20"/>
      <c r="G15" s="20"/>
      <c r="H15" s="20"/>
      <c r="I15" s="20"/>
      <c r="J15" s="20"/>
      <c r="K15" s="20"/>
      <c r="L15" s="20"/>
      <c r="M15" s="60"/>
      <c r="N15" s="18"/>
      <c r="O15" s="20"/>
      <c r="P15" s="74"/>
      <c r="Q15" s="74"/>
      <c r="R15" s="74"/>
      <c r="S15" s="89"/>
      <c r="T15" s="16"/>
    </row>
    <row r="16" spans="1:20" x14ac:dyDescent="0.35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34" t="s">
        <v>22</v>
      </c>
      <c r="O16" s="35"/>
      <c r="P16" s="79">
        <f>SUM(P14:P15)</f>
        <v>0</v>
      </c>
      <c r="Q16" s="79">
        <f t="shared" ref="Q16:R16" si="0">SUM(Q14:Q15)</f>
        <v>0</v>
      </c>
      <c r="R16" s="79">
        <f t="shared" si="0"/>
        <v>0</v>
      </c>
      <c r="S16" s="93"/>
      <c r="T16" s="27"/>
    </row>
    <row r="17" spans="1:20" x14ac:dyDescent="0.3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40"/>
      <c r="O17" s="40"/>
      <c r="P17" s="41"/>
      <c r="Q17" s="41"/>
      <c r="R17" s="41"/>
      <c r="S17" s="41"/>
      <c r="T17" s="42"/>
    </row>
    <row r="18" spans="1:20" x14ac:dyDescent="0.35">
      <c r="D18" s="28" t="s">
        <v>23</v>
      </c>
      <c r="E18" s="28"/>
      <c r="F18" s="28"/>
      <c r="P18" t="s">
        <v>69</v>
      </c>
    </row>
    <row r="19" spans="1:20" x14ac:dyDescent="0.35">
      <c r="D19" s="28" t="s">
        <v>24</v>
      </c>
      <c r="E19" s="28"/>
      <c r="F19" s="28"/>
      <c r="Q19" s="28" t="s">
        <v>25</v>
      </c>
      <c r="R19" s="28"/>
      <c r="S19" s="28"/>
    </row>
    <row r="23" spans="1:20" x14ac:dyDescent="0.35">
      <c r="D23" s="28" t="s">
        <v>26</v>
      </c>
      <c r="E23" s="28"/>
      <c r="F23" s="28"/>
      <c r="Q23" s="28" t="s">
        <v>40</v>
      </c>
      <c r="R23" s="28"/>
      <c r="S23" s="28"/>
    </row>
    <row r="24" spans="1:20" x14ac:dyDescent="0.35">
      <c r="D24" s="28" t="s">
        <v>27</v>
      </c>
      <c r="E24" s="28"/>
      <c r="F24" s="28"/>
      <c r="Q24" s="28" t="s">
        <v>28</v>
      </c>
      <c r="R24" s="28"/>
      <c r="S24" s="28"/>
    </row>
  </sheetData>
  <mergeCells count="15">
    <mergeCell ref="M10:M12"/>
    <mergeCell ref="N10:N12"/>
    <mergeCell ref="O10:O12"/>
    <mergeCell ref="P10:P12"/>
    <mergeCell ref="T10:T12"/>
    <mergeCell ref="Q10:Q12"/>
    <mergeCell ref="R10:R12"/>
    <mergeCell ref="S10:S12"/>
    <mergeCell ref="K10:L11"/>
    <mergeCell ref="A10:A12"/>
    <mergeCell ref="B10:B12"/>
    <mergeCell ref="C10:D11"/>
    <mergeCell ref="F10:G11"/>
    <mergeCell ref="H10:J11"/>
    <mergeCell ref="E10:E12"/>
  </mergeCells>
  <printOptions horizontalCentered="1"/>
  <pageMargins left="0.11811023622047245" right="0.11811023622047245" top="0.55118110236220474" bottom="0.55118110236220474" header="0.31496062992125984" footer="0.31496062992125984"/>
  <pageSetup paperSize="9" scale="52" orientation="landscape" horizontalDpi="1200" verticalDpi="1200" r:id="rId1"/>
  <headerFooter>
    <oddFooter>&amp;RHal &amp;P dari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24"/>
  <sheetViews>
    <sheetView zoomScale="75" zoomScaleNormal="75" workbookViewId="0">
      <selection activeCell="A14" sqref="A14"/>
    </sheetView>
  </sheetViews>
  <sheetFormatPr defaultRowHeight="14.5" x14ac:dyDescent="0.35"/>
  <cols>
    <col min="1" max="1" width="4.7265625" customWidth="1"/>
    <col min="2" max="3" width="24.7265625" customWidth="1"/>
    <col min="4" max="4" width="11.26953125" customWidth="1"/>
    <col min="5" max="5" width="10.26953125" customWidth="1"/>
    <col min="6" max="6" width="9" customWidth="1"/>
    <col min="7" max="7" width="8" customWidth="1"/>
    <col min="8" max="8" width="15.453125" customWidth="1"/>
    <col min="9" max="9" width="10.7265625" customWidth="1"/>
    <col min="10" max="10" width="15.453125" customWidth="1"/>
    <col min="11" max="11" width="10.453125" customWidth="1"/>
    <col min="12" max="12" width="12.54296875" customWidth="1"/>
    <col min="13" max="13" width="20" customWidth="1"/>
    <col min="14" max="14" width="12.54296875" customWidth="1"/>
    <col min="15" max="15" width="17.54296875" customWidth="1"/>
    <col min="16" max="16" width="10.1796875" customWidth="1"/>
    <col min="17" max="17" width="18" customWidth="1"/>
  </cols>
  <sheetData>
    <row r="2" spans="1:17" ht="17.5" x14ac:dyDescent="0.35">
      <c r="C2" s="1" t="s">
        <v>70</v>
      </c>
    </row>
    <row r="3" spans="1:17" ht="15.5" x14ac:dyDescent="0.35">
      <c r="C3" s="2" t="s">
        <v>119</v>
      </c>
    </row>
    <row r="5" spans="1:17" x14ac:dyDescent="0.35">
      <c r="A5" t="s">
        <v>1</v>
      </c>
    </row>
    <row r="6" spans="1:17" x14ac:dyDescent="0.35">
      <c r="A6" t="s">
        <v>3</v>
      </c>
    </row>
    <row r="7" spans="1:17" x14ac:dyDescent="0.35">
      <c r="A7" t="s">
        <v>4</v>
      </c>
    </row>
    <row r="8" spans="1:17" x14ac:dyDescent="0.35">
      <c r="A8" t="s">
        <v>5</v>
      </c>
    </row>
    <row r="9" spans="1:17" ht="6.75" customHeight="1" x14ac:dyDescent="0.35"/>
    <row r="10" spans="1:17" x14ac:dyDescent="0.35">
      <c r="A10" s="170" t="s">
        <v>6</v>
      </c>
      <c r="B10" s="167" t="s">
        <v>7</v>
      </c>
      <c r="C10" s="167" t="s">
        <v>126</v>
      </c>
      <c r="D10" s="167" t="s">
        <v>42</v>
      </c>
      <c r="E10" s="182" t="s">
        <v>43</v>
      </c>
      <c r="F10" s="186"/>
      <c r="G10" s="167" t="s">
        <v>44</v>
      </c>
      <c r="H10" s="182" t="s">
        <v>45</v>
      </c>
      <c r="I10" s="181" t="s">
        <v>46</v>
      </c>
      <c r="J10" s="181"/>
      <c r="K10" s="182" t="s">
        <v>71</v>
      </c>
      <c r="L10" s="181" t="s">
        <v>12</v>
      </c>
      <c r="M10" s="167" t="s">
        <v>48</v>
      </c>
      <c r="N10" s="167" t="s">
        <v>14</v>
      </c>
      <c r="O10" s="167" t="s">
        <v>72</v>
      </c>
      <c r="P10" s="181" t="s">
        <v>57</v>
      </c>
      <c r="Q10" s="181" t="s">
        <v>16</v>
      </c>
    </row>
    <row r="11" spans="1:17" x14ac:dyDescent="0.35">
      <c r="A11" s="170"/>
      <c r="B11" s="168"/>
      <c r="C11" s="168"/>
      <c r="D11" s="168"/>
      <c r="E11" s="183"/>
      <c r="F11" s="189"/>
      <c r="G11" s="168"/>
      <c r="H11" s="184"/>
      <c r="I11" s="181"/>
      <c r="J11" s="181"/>
      <c r="K11" s="184"/>
      <c r="L11" s="181"/>
      <c r="M11" s="168"/>
      <c r="N11" s="168"/>
      <c r="O11" s="168"/>
      <c r="P11" s="181"/>
      <c r="Q11" s="181"/>
    </row>
    <row r="12" spans="1:17" ht="29" x14ac:dyDescent="0.35">
      <c r="A12" s="170"/>
      <c r="B12" s="169"/>
      <c r="C12" s="169"/>
      <c r="D12" s="169"/>
      <c r="E12" s="5" t="s">
        <v>50</v>
      </c>
      <c r="F12" s="5" t="s">
        <v>51</v>
      </c>
      <c r="G12" s="169"/>
      <c r="H12" s="183"/>
      <c r="I12" s="29" t="s">
        <v>21</v>
      </c>
      <c r="J12" s="29" t="s">
        <v>8</v>
      </c>
      <c r="K12" s="183"/>
      <c r="L12" s="181"/>
      <c r="M12" s="169"/>
      <c r="N12" s="169"/>
      <c r="O12" s="169"/>
      <c r="P12" s="181"/>
      <c r="Q12" s="181"/>
    </row>
    <row r="13" spans="1:17" x14ac:dyDescent="0.35">
      <c r="A13" s="6">
        <v>1</v>
      </c>
      <c r="B13" s="6">
        <v>2</v>
      </c>
      <c r="C13" s="6">
        <v>3</v>
      </c>
      <c r="D13" s="6">
        <v>4</v>
      </c>
      <c r="E13" s="6">
        <v>5</v>
      </c>
      <c r="F13" s="6">
        <v>6</v>
      </c>
      <c r="G13" s="6">
        <v>7</v>
      </c>
      <c r="H13" s="6">
        <v>8</v>
      </c>
      <c r="I13" s="6">
        <v>9</v>
      </c>
      <c r="J13" s="6">
        <v>10</v>
      </c>
      <c r="K13" s="6">
        <v>11</v>
      </c>
      <c r="L13" s="6">
        <v>12</v>
      </c>
      <c r="M13" s="6">
        <v>13</v>
      </c>
      <c r="N13" s="6">
        <v>14</v>
      </c>
      <c r="O13" s="6">
        <v>15</v>
      </c>
      <c r="P13" s="6">
        <v>16</v>
      </c>
      <c r="Q13" s="6">
        <v>17</v>
      </c>
    </row>
    <row r="14" spans="1:17" x14ac:dyDescent="0.35">
      <c r="A14" s="7"/>
      <c r="B14" s="8"/>
      <c r="C14" s="8"/>
      <c r="D14" s="36"/>
      <c r="E14" s="12"/>
      <c r="F14" s="12"/>
      <c r="G14" s="14"/>
      <c r="H14" s="12"/>
      <c r="I14" s="13"/>
      <c r="J14" s="12"/>
      <c r="K14" s="13"/>
      <c r="L14" s="12"/>
      <c r="M14" s="12"/>
      <c r="N14" s="12"/>
      <c r="O14" s="76"/>
      <c r="P14" s="8"/>
      <c r="Q14" s="8"/>
    </row>
    <row r="15" spans="1:17" ht="5.25" customHeight="1" x14ac:dyDescent="0.35">
      <c r="A15" s="15"/>
      <c r="B15" s="16"/>
      <c r="C15" s="16"/>
      <c r="D15" s="32"/>
      <c r="E15" s="20"/>
      <c r="F15" s="20"/>
      <c r="G15" s="22"/>
      <c r="H15" s="20"/>
      <c r="I15" s="21"/>
      <c r="J15" s="20"/>
      <c r="K15" s="21"/>
      <c r="L15" s="20"/>
      <c r="M15" s="20"/>
      <c r="N15" s="20"/>
      <c r="O15" s="77"/>
      <c r="P15" s="16"/>
      <c r="Q15" s="16"/>
    </row>
    <row r="16" spans="1:17" x14ac:dyDescent="0.35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4" t="s">
        <v>22</v>
      </c>
      <c r="N16" s="35"/>
      <c r="O16" s="75">
        <f>SUM(O14:O15)</f>
        <v>0</v>
      </c>
      <c r="P16" s="27"/>
      <c r="Q16" s="27"/>
    </row>
    <row r="18" spans="3:15" x14ac:dyDescent="0.35">
      <c r="C18" s="28" t="s">
        <v>23</v>
      </c>
      <c r="O18" s="28" t="s">
        <v>120</v>
      </c>
    </row>
    <row r="19" spans="3:15" x14ac:dyDescent="0.35">
      <c r="C19" s="28" t="s">
        <v>24</v>
      </c>
      <c r="O19" s="28" t="s">
        <v>25</v>
      </c>
    </row>
    <row r="20" spans="3:15" x14ac:dyDescent="0.35">
      <c r="O20" s="28"/>
    </row>
    <row r="21" spans="3:15" x14ac:dyDescent="0.35">
      <c r="O21" s="28"/>
    </row>
    <row r="22" spans="3:15" x14ac:dyDescent="0.35">
      <c r="O22" s="28"/>
    </row>
    <row r="23" spans="3:15" x14ac:dyDescent="0.35">
      <c r="C23" s="28" t="s">
        <v>26</v>
      </c>
      <c r="O23" s="28" t="s">
        <v>40</v>
      </c>
    </row>
    <row r="24" spans="3:15" x14ac:dyDescent="0.35">
      <c r="C24" s="28" t="s">
        <v>27</v>
      </c>
      <c r="O24" s="28" t="s">
        <v>28</v>
      </c>
    </row>
  </sheetData>
  <mergeCells count="15">
    <mergeCell ref="Q10:Q12"/>
    <mergeCell ref="O10:O12"/>
    <mergeCell ref="P10:P12"/>
    <mergeCell ref="I10:J11"/>
    <mergeCell ref="K10:K12"/>
    <mergeCell ref="L10:L12"/>
    <mergeCell ref="M10:M12"/>
    <mergeCell ref="N10:N12"/>
    <mergeCell ref="H10:H12"/>
    <mergeCell ref="A10:A12"/>
    <mergeCell ref="B10:B12"/>
    <mergeCell ref="D10:D12"/>
    <mergeCell ref="E10:F11"/>
    <mergeCell ref="G10:G12"/>
    <mergeCell ref="C10:C12"/>
  </mergeCells>
  <printOptions horizontalCentered="1"/>
  <pageMargins left="0.11811023622047245" right="0.11811023622047245" top="0.55118110236220474" bottom="0.55118110236220474" header="0.31496062992125984" footer="0.31496062992125984"/>
  <pageSetup paperSize="9" scale="65" orientation="landscape" horizontalDpi="0" verticalDpi="0" r:id="rId1"/>
  <headerFooter>
    <oddFooter>&amp;RHal &amp;P dari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126"/>
  <sheetViews>
    <sheetView tabSelected="1" zoomScale="90" zoomScaleNormal="90" workbookViewId="0"/>
  </sheetViews>
  <sheetFormatPr defaultRowHeight="14.5" x14ac:dyDescent="0.35"/>
  <cols>
    <col min="1" max="1" width="4.7265625" customWidth="1"/>
    <col min="2" max="2" width="29.7265625" customWidth="1"/>
    <col min="3" max="3" width="20.7265625" customWidth="1"/>
    <col min="4" max="4" width="6.1796875" customWidth="1"/>
    <col min="5" max="8" width="18.453125" customWidth="1"/>
    <col min="10" max="10" width="7.81640625" customWidth="1"/>
    <col min="11" max="11" width="16" customWidth="1"/>
    <col min="12" max="12" width="13.54296875" customWidth="1"/>
    <col min="13" max="13" width="21.1796875" customWidth="1"/>
  </cols>
  <sheetData>
    <row r="2" spans="1:13" ht="17.5" x14ac:dyDescent="0.35">
      <c r="C2" s="1" t="s">
        <v>73</v>
      </c>
    </row>
    <row r="3" spans="1:13" ht="15.5" x14ac:dyDescent="0.35">
      <c r="C3" s="2" t="s">
        <v>119</v>
      </c>
    </row>
    <row r="5" spans="1:13" x14ac:dyDescent="0.35">
      <c r="A5" t="s">
        <v>3</v>
      </c>
      <c r="C5" t="s">
        <v>127</v>
      </c>
    </row>
    <row r="6" spans="1:13" x14ac:dyDescent="0.35">
      <c r="A6" t="s">
        <v>4</v>
      </c>
      <c r="C6" t="s">
        <v>127</v>
      </c>
    </row>
    <row r="7" spans="1:13" x14ac:dyDescent="0.35">
      <c r="A7" t="s">
        <v>5</v>
      </c>
      <c r="C7" t="s">
        <v>127</v>
      </c>
    </row>
    <row r="8" spans="1:13" x14ac:dyDescent="0.35">
      <c r="A8" t="s">
        <v>74</v>
      </c>
      <c r="C8" t="s">
        <v>128</v>
      </c>
    </row>
    <row r="9" spans="1:13" x14ac:dyDescent="0.35">
      <c r="A9" t="s">
        <v>75</v>
      </c>
      <c r="C9" t="s">
        <v>129</v>
      </c>
      <c r="H9" t="s">
        <v>123</v>
      </c>
      <c r="I9" t="s">
        <v>131</v>
      </c>
    </row>
    <row r="10" spans="1:13" x14ac:dyDescent="0.35">
      <c r="A10" t="s">
        <v>76</v>
      </c>
      <c r="C10" t="s">
        <v>130</v>
      </c>
      <c r="H10" t="s">
        <v>77</v>
      </c>
      <c r="I10" t="s">
        <v>132</v>
      </c>
    </row>
    <row r="11" spans="1:13" ht="6.75" customHeight="1" x14ac:dyDescent="0.35"/>
    <row r="12" spans="1:13" x14ac:dyDescent="0.35">
      <c r="A12" s="170" t="s">
        <v>6</v>
      </c>
      <c r="B12" s="171" t="s">
        <v>7</v>
      </c>
      <c r="C12" s="174" t="s">
        <v>8</v>
      </c>
      <c r="D12" s="175"/>
      <c r="E12" s="167" t="s">
        <v>78</v>
      </c>
      <c r="F12" s="182" t="s">
        <v>79</v>
      </c>
      <c r="G12" s="167" t="s">
        <v>68</v>
      </c>
      <c r="H12" s="167" t="s">
        <v>32</v>
      </c>
      <c r="I12" s="167" t="s">
        <v>80</v>
      </c>
      <c r="J12" s="167" t="s">
        <v>22</v>
      </c>
      <c r="K12" s="167" t="s">
        <v>15</v>
      </c>
      <c r="L12" s="167" t="s">
        <v>98</v>
      </c>
      <c r="M12" s="181" t="s">
        <v>16</v>
      </c>
    </row>
    <row r="13" spans="1:13" x14ac:dyDescent="0.35">
      <c r="A13" s="170"/>
      <c r="B13" s="172"/>
      <c r="C13" s="176"/>
      <c r="D13" s="177"/>
      <c r="E13" s="168"/>
      <c r="F13" s="184"/>
      <c r="G13" s="168"/>
      <c r="H13" s="168"/>
      <c r="I13" s="168"/>
      <c r="J13" s="168"/>
      <c r="K13" s="168"/>
      <c r="L13" s="168"/>
      <c r="M13" s="181"/>
    </row>
    <row r="14" spans="1:13" ht="29" x14ac:dyDescent="0.35">
      <c r="A14" s="170"/>
      <c r="B14" s="173"/>
      <c r="C14" s="4" t="s">
        <v>19</v>
      </c>
      <c r="D14" s="5" t="s">
        <v>49</v>
      </c>
      <c r="E14" s="169"/>
      <c r="F14" s="183"/>
      <c r="G14" s="169"/>
      <c r="H14" s="169"/>
      <c r="I14" s="169"/>
      <c r="J14" s="169"/>
      <c r="K14" s="169"/>
      <c r="L14" s="169"/>
      <c r="M14" s="181"/>
    </row>
    <row r="15" spans="1:13" x14ac:dyDescent="0.35">
      <c r="A15" s="6">
        <v>1</v>
      </c>
      <c r="B15" s="6">
        <v>2</v>
      </c>
      <c r="C15" s="6">
        <v>3</v>
      </c>
      <c r="D15" s="6">
        <v>4</v>
      </c>
      <c r="E15" s="6">
        <v>5</v>
      </c>
      <c r="F15" s="6">
        <v>6</v>
      </c>
      <c r="G15" s="6">
        <v>7</v>
      </c>
      <c r="H15" s="6">
        <v>8</v>
      </c>
      <c r="I15" s="6">
        <v>9</v>
      </c>
      <c r="J15" s="6">
        <v>10</v>
      </c>
      <c r="K15" s="6">
        <v>11</v>
      </c>
      <c r="L15" s="6">
        <v>12</v>
      </c>
      <c r="M15" s="6">
        <v>13</v>
      </c>
    </row>
    <row r="16" spans="1:13" ht="34.5" x14ac:dyDescent="0.35">
      <c r="A16" s="7">
        <v>1</v>
      </c>
      <c r="B16" s="8" t="s">
        <v>137</v>
      </c>
      <c r="C16" s="8" t="s">
        <v>138</v>
      </c>
      <c r="D16" s="8">
        <v>8</v>
      </c>
      <c r="E16" s="36" t="s">
        <v>139</v>
      </c>
      <c r="F16" s="12" t="s">
        <v>140</v>
      </c>
      <c r="G16" s="12"/>
      <c r="H16" s="12" t="s">
        <v>141</v>
      </c>
      <c r="I16" s="10">
        <v>2010</v>
      </c>
      <c r="J16" s="10">
        <v>1</v>
      </c>
      <c r="K16" s="73">
        <v>3234000</v>
      </c>
      <c r="L16" s="43" t="s">
        <v>111</v>
      </c>
      <c r="M16" s="8"/>
    </row>
    <row r="17" spans="1:13" ht="34.5" x14ac:dyDescent="0.35">
      <c r="A17" s="94">
        <v>2</v>
      </c>
      <c r="B17" s="95" t="s">
        <v>142</v>
      </c>
      <c r="C17" s="95" t="s">
        <v>143</v>
      </c>
      <c r="D17" s="95">
        <v>4</v>
      </c>
      <c r="E17" s="96"/>
      <c r="F17" s="97" t="s">
        <v>140</v>
      </c>
      <c r="G17" s="97"/>
      <c r="H17" s="97"/>
      <c r="I17" s="98">
        <v>2013</v>
      </c>
      <c r="J17" s="98">
        <v>1</v>
      </c>
      <c r="K17" s="99">
        <v>715000</v>
      </c>
      <c r="L17" s="100" t="s">
        <v>111</v>
      </c>
      <c r="M17" s="95"/>
    </row>
    <row r="18" spans="1:13" ht="34.5" x14ac:dyDescent="0.35">
      <c r="A18" s="94">
        <v>3</v>
      </c>
      <c r="B18" s="95" t="s">
        <v>144</v>
      </c>
      <c r="C18" s="95" t="s">
        <v>145</v>
      </c>
      <c r="D18" s="95">
        <v>62</v>
      </c>
      <c r="E18" s="96"/>
      <c r="F18" s="97" t="s">
        <v>146</v>
      </c>
      <c r="G18" s="97"/>
      <c r="H18" s="97"/>
      <c r="I18" s="98">
        <v>2014</v>
      </c>
      <c r="J18" s="98">
        <v>1</v>
      </c>
      <c r="K18" s="99">
        <v>4840000</v>
      </c>
      <c r="L18" s="100" t="s">
        <v>111</v>
      </c>
      <c r="M18" s="95"/>
    </row>
    <row r="19" spans="1:13" ht="46" x14ac:dyDescent="0.35">
      <c r="A19" s="94">
        <v>4</v>
      </c>
      <c r="B19" s="95" t="s">
        <v>147</v>
      </c>
      <c r="C19" s="95" t="s">
        <v>148</v>
      </c>
      <c r="D19" s="95">
        <v>1</v>
      </c>
      <c r="E19" s="96" t="s">
        <v>149</v>
      </c>
      <c r="F19" s="97" t="s">
        <v>140</v>
      </c>
      <c r="G19" s="97"/>
      <c r="H19" s="97" t="s">
        <v>150</v>
      </c>
      <c r="I19" s="98">
        <v>2016</v>
      </c>
      <c r="J19" s="98">
        <v>1</v>
      </c>
      <c r="K19" s="99">
        <v>1960114716</v>
      </c>
      <c r="L19" s="100" t="s">
        <v>111</v>
      </c>
      <c r="M19" s="95"/>
    </row>
    <row r="20" spans="1:13" ht="34.5" x14ac:dyDescent="0.35">
      <c r="A20" s="94">
        <v>5</v>
      </c>
      <c r="B20" s="95" t="s">
        <v>151</v>
      </c>
      <c r="C20" s="95" t="s">
        <v>152</v>
      </c>
      <c r="D20" s="95">
        <v>13</v>
      </c>
      <c r="E20" s="96" t="s">
        <v>153</v>
      </c>
      <c r="F20" s="97" t="s">
        <v>140</v>
      </c>
      <c r="G20" s="97" t="s">
        <v>154</v>
      </c>
      <c r="H20" s="97" t="s">
        <v>150</v>
      </c>
      <c r="I20" s="98">
        <v>2016</v>
      </c>
      <c r="J20" s="98">
        <v>1</v>
      </c>
      <c r="K20" s="99">
        <v>10049435</v>
      </c>
      <c r="L20" s="100" t="s">
        <v>111</v>
      </c>
      <c r="M20" s="95"/>
    </row>
    <row r="21" spans="1:13" ht="34.5" x14ac:dyDescent="0.35">
      <c r="A21" s="94">
        <v>6</v>
      </c>
      <c r="B21" s="95" t="s">
        <v>155</v>
      </c>
      <c r="C21" s="95" t="s">
        <v>156</v>
      </c>
      <c r="D21" s="95">
        <v>7</v>
      </c>
      <c r="E21" s="96"/>
      <c r="F21" s="97" t="s">
        <v>140</v>
      </c>
      <c r="G21" s="97" t="s">
        <v>157</v>
      </c>
      <c r="H21" s="97" t="s">
        <v>158</v>
      </c>
      <c r="I21" s="98">
        <v>2017</v>
      </c>
      <c r="J21" s="98">
        <v>1</v>
      </c>
      <c r="K21" s="99">
        <v>2640000</v>
      </c>
      <c r="L21" s="100" t="s">
        <v>111</v>
      </c>
      <c r="M21" s="95"/>
    </row>
    <row r="22" spans="1:13" ht="34.5" x14ac:dyDescent="0.35">
      <c r="A22" s="94">
        <v>7</v>
      </c>
      <c r="B22" s="95" t="s">
        <v>159</v>
      </c>
      <c r="C22" s="95" t="s">
        <v>160</v>
      </c>
      <c r="D22" s="95">
        <v>2</v>
      </c>
      <c r="E22" s="96"/>
      <c r="F22" s="97" t="s">
        <v>140</v>
      </c>
      <c r="G22" s="97"/>
      <c r="H22" s="97" t="s">
        <v>150</v>
      </c>
      <c r="I22" s="98">
        <v>2017</v>
      </c>
      <c r="J22" s="98">
        <v>1</v>
      </c>
      <c r="K22" s="99">
        <v>1897500</v>
      </c>
      <c r="L22" s="100" t="s">
        <v>111</v>
      </c>
      <c r="M22" s="95"/>
    </row>
    <row r="23" spans="1:13" ht="46" x14ac:dyDescent="0.35">
      <c r="A23" s="94">
        <v>8</v>
      </c>
      <c r="B23" s="95" t="s">
        <v>161</v>
      </c>
      <c r="C23" s="95" t="s">
        <v>162</v>
      </c>
      <c r="D23" s="95">
        <v>104</v>
      </c>
      <c r="E23" s="96" t="s">
        <v>163</v>
      </c>
      <c r="F23" s="97" t="s">
        <v>140</v>
      </c>
      <c r="G23" s="97"/>
      <c r="H23" s="97" t="s">
        <v>150</v>
      </c>
      <c r="I23" s="98">
        <v>2017</v>
      </c>
      <c r="J23" s="98">
        <v>1</v>
      </c>
      <c r="K23" s="99">
        <v>7008500</v>
      </c>
      <c r="L23" s="100" t="s">
        <v>111</v>
      </c>
      <c r="M23" s="95"/>
    </row>
    <row r="24" spans="1:13" ht="46" x14ac:dyDescent="0.35">
      <c r="A24" s="94">
        <v>9</v>
      </c>
      <c r="B24" s="95" t="s">
        <v>164</v>
      </c>
      <c r="C24" s="95" t="s">
        <v>162</v>
      </c>
      <c r="D24" s="95">
        <v>118</v>
      </c>
      <c r="E24" s="96" t="s">
        <v>165</v>
      </c>
      <c r="F24" s="97" t="s">
        <v>140</v>
      </c>
      <c r="G24" s="97"/>
      <c r="H24" s="97" t="s">
        <v>166</v>
      </c>
      <c r="I24" s="98">
        <v>2017</v>
      </c>
      <c r="J24" s="98">
        <v>1</v>
      </c>
      <c r="K24" s="99">
        <v>9422500</v>
      </c>
      <c r="L24" s="100" t="s">
        <v>111</v>
      </c>
      <c r="M24" s="95"/>
    </row>
    <row r="25" spans="1:13" ht="46" x14ac:dyDescent="0.35">
      <c r="A25" s="94">
        <v>10</v>
      </c>
      <c r="B25" s="95" t="s">
        <v>164</v>
      </c>
      <c r="C25" s="95" t="s">
        <v>162</v>
      </c>
      <c r="D25" s="95">
        <v>119</v>
      </c>
      <c r="E25" s="96" t="s">
        <v>165</v>
      </c>
      <c r="F25" s="97" t="s">
        <v>140</v>
      </c>
      <c r="G25" s="97"/>
      <c r="H25" s="97" t="s">
        <v>166</v>
      </c>
      <c r="I25" s="98">
        <v>2017</v>
      </c>
      <c r="J25" s="98">
        <v>1</v>
      </c>
      <c r="K25" s="99">
        <v>9422500</v>
      </c>
      <c r="L25" s="100" t="s">
        <v>111</v>
      </c>
      <c r="M25" s="95"/>
    </row>
    <row r="26" spans="1:13" ht="34.5" x14ac:dyDescent="0.35">
      <c r="A26" s="94">
        <v>11</v>
      </c>
      <c r="B26" s="95" t="s">
        <v>144</v>
      </c>
      <c r="C26" s="95" t="s">
        <v>162</v>
      </c>
      <c r="D26" s="95">
        <v>150</v>
      </c>
      <c r="E26" s="96" t="s">
        <v>167</v>
      </c>
      <c r="F26" s="97" t="s">
        <v>140</v>
      </c>
      <c r="G26" s="97"/>
      <c r="H26" s="97" t="s">
        <v>166</v>
      </c>
      <c r="I26" s="98">
        <v>2017</v>
      </c>
      <c r="J26" s="98">
        <v>1</v>
      </c>
      <c r="K26" s="99">
        <v>2577507</v>
      </c>
      <c r="L26" s="100" t="s">
        <v>111</v>
      </c>
      <c r="M26" s="95"/>
    </row>
    <row r="27" spans="1:13" ht="46" x14ac:dyDescent="0.35">
      <c r="A27" s="94">
        <v>12</v>
      </c>
      <c r="B27" s="95" t="s">
        <v>168</v>
      </c>
      <c r="C27" s="95" t="s">
        <v>162</v>
      </c>
      <c r="D27" s="95">
        <v>216</v>
      </c>
      <c r="E27" s="96" t="s">
        <v>167</v>
      </c>
      <c r="F27" s="97" t="s">
        <v>140</v>
      </c>
      <c r="G27" s="97"/>
      <c r="H27" s="97" t="s">
        <v>166</v>
      </c>
      <c r="I27" s="98">
        <v>2017</v>
      </c>
      <c r="J27" s="98">
        <v>1</v>
      </c>
      <c r="K27" s="99">
        <v>4000000</v>
      </c>
      <c r="L27" s="100" t="s">
        <v>111</v>
      </c>
      <c r="M27" s="95"/>
    </row>
    <row r="28" spans="1:13" ht="46" x14ac:dyDescent="0.35">
      <c r="A28" s="94">
        <v>13</v>
      </c>
      <c r="B28" s="95" t="s">
        <v>168</v>
      </c>
      <c r="C28" s="95" t="s">
        <v>162</v>
      </c>
      <c r="D28" s="95">
        <v>217</v>
      </c>
      <c r="E28" s="96" t="s">
        <v>167</v>
      </c>
      <c r="F28" s="97" t="s">
        <v>140</v>
      </c>
      <c r="G28" s="97"/>
      <c r="H28" s="97" t="s">
        <v>166</v>
      </c>
      <c r="I28" s="98">
        <v>2017</v>
      </c>
      <c r="J28" s="98">
        <v>1</v>
      </c>
      <c r="K28" s="99">
        <v>4000000</v>
      </c>
      <c r="L28" s="100" t="s">
        <v>111</v>
      </c>
      <c r="M28" s="95"/>
    </row>
    <row r="29" spans="1:13" ht="46" x14ac:dyDescent="0.35">
      <c r="A29" s="94">
        <v>14</v>
      </c>
      <c r="B29" s="95" t="s">
        <v>168</v>
      </c>
      <c r="C29" s="95" t="s">
        <v>162</v>
      </c>
      <c r="D29" s="95">
        <v>218</v>
      </c>
      <c r="E29" s="96" t="s">
        <v>167</v>
      </c>
      <c r="F29" s="97" t="s">
        <v>140</v>
      </c>
      <c r="G29" s="97"/>
      <c r="H29" s="97" t="s">
        <v>166</v>
      </c>
      <c r="I29" s="98">
        <v>2017</v>
      </c>
      <c r="J29" s="98">
        <v>1</v>
      </c>
      <c r="K29" s="99">
        <v>4000000</v>
      </c>
      <c r="L29" s="100" t="s">
        <v>111</v>
      </c>
      <c r="M29" s="95"/>
    </row>
    <row r="30" spans="1:13" ht="46" x14ac:dyDescent="0.35">
      <c r="A30" s="94">
        <v>15</v>
      </c>
      <c r="B30" s="95" t="s">
        <v>164</v>
      </c>
      <c r="C30" s="95" t="s">
        <v>162</v>
      </c>
      <c r="D30" s="95">
        <v>387</v>
      </c>
      <c r="E30" s="96" t="s">
        <v>169</v>
      </c>
      <c r="F30" s="97" t="s">
        <v>140</v>
      </c>
      <c r="G30" s="97"/>
      <c r="H30" s="97" t="s">
        <v>166</v>
      </c>
      <c r="I30" s="98">
        <v>2017</v>
      </c>
      <c r="J30" s="98">
        <v>1</v>
      </c>
      <c r="K30" s="99">
        <v>32608500</v>
      </c>
      <c r="L30" s="100" t="s">
        <v>111</v>
      </c>
      <c r="M30" s="95"/>
    </row>
    <row r="31" spans="1:13" ht="46" x14ac:dyDescent="0.35">
      <c r="A31" s="94">
        <v>16</v>
      </c>
      <c r="B31" s="95" t="s">
        <v>164</v>
      </c>
      <c r="C31" s="95" t="s">
        <v>162</v>
      </c>
      <c r="D31" s="95">
        <v>388</v>
      </c>
      <c r="E31" s="96" t="s">
        <v>169</v>
      </c>
      <c r="F31" s="97" t="s">
        <v>140</v>
      </c>
      <c r="G31" s="97"/>
      <c r="H31" s="97" t="s">
        <v>166</v>
      </c>
      <c r="I31" s="98">
        <v>2017</v>
      </c>
      <c r="J31" s="98">
        <v>1</v>
      </c>
      <c r="K31" s="99">
        <v>32608500</v>
      </c>
      <c r="L31" s="100" t="s">
        <v>111</v>
      </c>
      <c r="M31" s="95"/>
    </row>
    <row r="32" spans="1:13" ht="46" x14ac:dyDescent="0.35">
      <c r="A32" s="94">
        <v>17</v>
      </c>
      <c r="B32" s="95" t="s">
        <v>164</v>
      </c>
      <c r="C32" s="95" t="s">
        <v>162</v>
      </c>
      <c r="D32" s="95">
        <v>389</v>
      </c>
      <c r="E32" s="96" t="s">
        <v>169</v>
      </c>
      <c r="F32" s="97" t="s">
        <v>140</v>
      </c>
      <c r="G32" s="97"/>
      <c r="H32" s="97" t="s">
        <v>166</v>
      </c>
      <c r="I32" s="98">
        <v>2017</v>
      </c>
      <c r="J32" s="98">
        <v>1</v>
      </c>
      <c r="K32" s="99">
        <v>32608500</v>
      </c>
      <c r="L32" s="100" t="s">
        <v>111</v>
      </c>
      <c r="M32" s="95"/>
    </row>
    <row r="33" spans="1:13" ht="46" x14ac:dyDescent="0.35">
      <c r="A33" s="94">
        <v>18</v>
      </c>
      <c r="B33" s="95" t="s">
        <v>164</v>
      </c>
      <c r="C33" s="95" t="s">
        <v>162</v>
      </c>
      <c r="D33" s="95">
        <v>390</v>
      </c>
      <c r="E33" s="96" t="s">
        <v>169</v>
      </c>
      <c r="F33" s="97" t="s">
        <v>140</v>
      </c>
      <c r="G33" s="97"/>
      <c r="H33" s="97" t="s">
        <v>166</v>
      </c>
      <c r="I33" s="98">
        <v>2017</v>
      </c>
      <c r="J33" s="98">
        <v>1</v>
      </c>
      <c r="K33" s="99">
        <v>32608500</v>
      </c>
      <c r="L33" s="100" t="s">
        <v>111</v>
      </c>
      <c r="M33" s="95"/>
    </row>
    <row r="34" spans="1:13" ht="46" x14ac:dyDescent="0.35">
      <c r="A34" s="94">
        <v>19</v>
      </c>
      <c r="B34" s="95" t="s">
        <v>164</v>
      </c>
      <c r="C34" s="95" t="s">
        <v>162</v>
      </c>
      <c r="D34" s="95">
        <v>391</v>
      </c>
      <c r="E34" s="96" t="s">
        <v>169</v>
      </c>
      <c r="F34" s="97" t="s">
        <v>140</v>
      </c>
      <c r="G34" s="97"/>
      <c r="H34" s="97" t="s">
        <v>166</v>
      </c>
      <c r="I34" s="98">
        <v>2017</v>
      </c>
      <c r="J34" s="98">
        <v>1</v>
      </c>
      <c r="K34" s="99">
        <v>32608500</v>
      </c>
      <c r="L34" s="100" t="s">
        <v>111</v>
      </c>
      <c r="M34" s="95"/>
    </row>
    <row r="35" spans="1:13" ht="46" x14ac:dyDescent="0.35">
      <c r="A35" s="94">
        <v>20</v>
      </c>
      <c r="B35" s="95" t="s">
        <v>170</v>
      </c>
      <c r="C35" s="95" t="s">
        <v>171</v>
      </c>
      <c r="D35" s="95">
        <v>2</v>
      </c>
      <c r="E35" s="96" t="s">
        <v>172</v>
      </c>
      <c r="F35" s="97" t="s">
        <v>140</v>
      </c>
      <c r="G35" s="97"/>
      <c r="H35" s="97" t="s">
        <v>166</v>
      </c>
      <c r="I35" s="98">
        <v>2017</v>
      </c>
      <c r="J35" s="98">
        <v>1</v>
      </c>
      <c r="K35" s="99">
        <v>930099</v>
      </c>
      <c r="L35" s="100" t="s">
        <v>111</v>
      </c>
      <c r="M35" s="95"/>
    </row>
    <row r="36" spans="1:13" ht="46" x14ac:dyDescent="0.35">
      <c r="A36" s="94">
        <v>21</v>
      </c>
      <c r="B36" s="95" t="s">
        <v>170</v>
      </c>
      <c r="C36" s="95" t="s">
        <v>171</v>
      </c>
      <c r="D36" s="95">
        <v>3</v>
      </c>
      <c r="E36" s="96" t="s">
        <v>172</v>
      </c>
      <c r="F36" s="97" t="s">
        <v>140</v>
      </c>
      <c r="G36" s="97"/>
      <c r="H36" s="97" t="s">
        <v>166</v>
      </c>
      <c r="I36" s="98">
        <v>2017</v>
      </c>
      <c r="J36" s="98">
        <v>1</v>
      </c>
      <c r="K36" s="99">
        <v>930099</v>
      </c>
      <c r="L36" s="100" t="s">
        <v>111</v>
      </c>
      <c r="M36" s="95"/>
    </row>
    <row r="37" spans="1:13" ht="46" x14ac:dyDescent="0.35">
      <c r="A37" s="94">
        <v>22</v>
      </c>
      <c r="B37" s="95" t="s">
        <v>170</v>
      </c>
      <c r="C37" s="95" t="s">
        <v>171</v>
      </c>
      <c r="D37" s="95">
        <v>4</v>
      </c>
      <c r="E37" s="96" t="s">
        <v>172</v>
      </c>
      <c r="F37" s="97" t="s">
        <v>140</v>
      </c>
      <c r="G37" s="97"/>
      <c r="H37" s="97" t="s">
        <v>166</v>
      </c>
      <c r="I37" s="98">
        <v>2017</v>
      </c>
      <c r="J37" s="98">
        <v>1</v>
      </c>
      <c r="K37" s="99">
        <v>930099</v>
      </c>
      <c r="L37" s="100" t="s">
        <v>111</v>
      </c>
      <c r="M37" s="95"/>
    </row>
    <row r="38" spans="1:13" ht="34.5" x14ac:dyDescent="0.35">
      <c r="A38" s="94">
        <v>23</v>
      </c>
      <c r="B38" s="95" t="s">
        <v>173</v>
      </c>
      <c r="C38" s="95" t="s">
        <v>174</v>
      </c>
      <c r="D38" s="95">
        <v>13</v>
      </c>
      <c r="E38" s="96" t="s">
        <v>175</v>
      </c>
      <c r="F38" s="97" t="s">
        <v>140</v>
      </c>
      <c r="G38" s="97"/>
      <c r="H38" s="97" t="s">
        <v>150</v>
      </c>
      <c r="I38" s="98">
        <v>2017</v>
      </c>
      <c r="J38" s="98">
        <v>1</v>
      </c>
      <c r="K38" s="99">
        <v>110500000</v>
      </c>
      <c r="L38" s="100" t="s">
        <v>111</v>
      </c>
      <c r="M38" s="95"/>
    </row>
    <row r="39" spans="1:13" ht="34.5" x14ac:dyDescent="0.35">
      <c r="A39" s="94">
        <v>24</v>
      </c>
      <c r="B39" s="95" t="s">
        <v>173</v>
      </c>
      <c r="C39" s="95" t="s">
        <v>174</v>
      </c>
      <c r="D39" s="95">
        <v>14</v>
      </c>
      <c r="E39" s="96" t="s">
        <v>175</v>
      </c>
      <c r="F39" s="97" t="s">
        <v>140</v>
      </c>
      <c r="G39" s="97"/>
      <c r="H39" s="97" t="s">
        <v>150</v>
      </c>
      <c r="I39" s="98">
        <v>2017</v>
      </c>
      <c r="J39" s="98">
        <v>1</v>
      </c>
      <c r="K39" s="99">
        <v>110500000</v>
      </c>
      <c r="L39" s="100" t="s">
        <v>111</v>
      </c>
      <c r="M39" s="95"/>
    </row>
    <row r="40" spans="1:13" ht="34.5" x14ac:dyDescent="0.35">
      <c r="A40" s="94">
        <v>25</v>
      </c>
      <c r="B40" s="95" t="s">
        <v>173</v>
      </c>
      <c r="C40" s="95" t="s">
        <v>174</v>
      </c>
      <c r="D40" s="95">
        <v>15</v>
      </c>
      <c r="E40" s="96" t="s">
        <v>175</v>
      </c>
      <c r="F40" s="97" t="s">
        <v>140</v>
      </c>
      <c r="G40" s="97"/>
      <c r="H40" s="97" t="s">
        <v>150</v>
      </c>
      <c r="I40" s="98">
        <v>2017</v>
      </c>
      <c r="J40" s="98">
        <v>1</v>
      </c>
      <c r="K40" s="99">
        <v>110500000</v>
      </c>
      <c r="L40" s="100" t="s">
        <v>111</v>
      </c>
      <c r="M40" s="95"/>
    </row>
    <row r="41" spans="1:13" ht="34.5" x14ac:dyDescent="0.35">
      <c r="A41" s="94">
        <v>26</v>
      </c>
      <c r="B41" s="95" t="s">
        <v>173</v>
      </c>
      <c r="C41" s="95" t="s">
        <v>174</v>
      </c>
      <c r="D41" s="95">
        <v>30</v>
      </c>
      <c r="E41" s="96" t="s">
        <v>175</v>
      </c>
      <c r="F41" s="97" t="s">
        <v>140</v>
      </c>
      <c r="G41" s="97"/>
      <c r="H41" s="97" t="s">
        <v>150</v>
      </c>
      <c r="I41" s="98">
        <v>2017</v>
      </c>
      <c r="J41" s="98">
        <v>1</v>
      </c>
      <c r="K41" s="99">
        <v>110500000</v>
      </c>
      <c r="L41" s="100" t="s">
        <v>111</v>
      </c>
      <c r="M41" s="95"/>
    </row>
    <row r="42" spans="1:13" ht="34.5" x14ac:dyDescent="0.35">
      <c r="A42" s="94">
        <v>27</v>
      </c>
      <c r="B42" s="95" t="s">
        <v>176</v>
      </c>
      <c r="C42" s="95" t="s">
        <v>177</v>
      </c>
      <c r="D42" s="95">
        <v>1</v>
      </c>
      <c r="E42" s="96"/>
      <c r="F42" s="97" t="s">
        <v>140</v>
      </c>
      <c r="G42" s="97" t="s">
        <v>178</v>
      </c>
      <c r="H42" s="97"/>
      <c r="I42" s="98">
        <v>2018</v>
      </c>
      <c r="J42" s="98">
        <v>1</v>
      </c>
      <c r="K42" s="99">
        <v>1444300</v>
      </c>
      <c r="L42" s="100" t="s">
        <v>111</v>
      </c>
      <c r="M42" s="95"/>
    </row>
    <row r="43" spans="1:13" ht="34.5" x14ac:dyDescent="0.35">
      <c r="A43" s="94">
        <v>28</v>
      </c>
      <c r="B43" s="95" t="s">
        <v>179</v>
      </c>
      <c r="C43" s="95" t="s">
        <v>180</v>
      </c>
      <c r="D43" s="95">
        <v>8</v>
      </c>
      <c r="E43" s="96" t="s">
        <v>181</v>
      </c>
      <c r="F43" s="97" t="s">
        <v>140</v>
      </c>
      <c r="G43" s="97"/>
      <c r="H43" s="97" t="s">
        <v>150</v>
      </c>
      <c r="I43" s="98">
        <v>2018</v>
      </c>
      <c r="J43" s="98">
        <v>1</v>
      </c>
      <c r="K43" s="99">
        <v>34125000</v>
      </c>
      <c r="L43" s="100" t="s">
        <v>111</v>
      </c>
      <c r="M43" s="95"/>
    </row>
    <row r="44" spans="1:13" ht="34.5" x14ac:dyDescent="0.35">
      <c r="A44" s="94">
        <v>29</v>
      </c>
      <c r="B44" s="95" t="s">
        <v>179</v>
      </c>
      <c r="C44" s="95" t="s">
        <v>180</v>
      </c>
      <c r="D44" s="95">
        <v>21</v>
      </c>
      <c r="E44" s="96" t="s">
        <v>181</v>
      </c>
      <c r="F44" s="97" t="s">
        <v>140</v>
      </c>
      <c r="G44" s="97"/>
      <c r="H44" s="97" t="s">
        <v>150</v>
      </c>
      <c r="I44" s="98">
        <v>2018</v>
      </c>
      <c r="J44" s="98">
        <v>1</v>
      </c>
      <c r="K44" s="99">
        <v>34125000</v>
      </c>
      <c r="L44" s="100" t="s">
        <v>111</v>
      </c>
      <c r="M44" s="95"/>
    </row>
    <row r="45" spans="1:13" ht="34.5" x14ac:dyDescent="0.35">
      <c r="A45" s="94">
        <v>30</v>
      </c>
      <c r="B45" s="95" t="s">
        <v>179</v>
      </c>
      <c r="C45" s="95" t="s">
        <v>180</v>
      </c>
      <c r="D45" s="95">
        <v>22</v>
      </c>
      <c r="E45" s="96" t="s">
        <v>181</v>
      </c>
      <c r="F45" s="97" t="s">
        <v>140</v>
      </c>
      <c r="G45" s="97"/>
      <c r="H45" s="97" t="s">
        <v>150</v>
      </c>
      <c r="I45" s="98">
        <v>2018</v>
      </c>
      <c r="J45" s="98">
        <v>1</v>
      </c>
      <c r="K45" s="99">
        <v>34125000</v>
      </c>
      <c r="L45" s="100" t="s">
        <v>111</v>
      </c>
      <c r="M45" s="95"/>
    </row>
    <row r="46" spans="1:13" ht="34.5" x14ac:dyDescent="0.35">
      <c r="A46" s="94">
        <v>31</v>
      </c>
      <c r="B46" s="95" t="s">
        <v>182</v>
      </c>
      <c r="C46" s="95" t="s">
        <v>183</v>
      </c>
      <c r="D46" s="95">
        <v>11</v>
      </c>
      <c r="E46" s="96" t="s">
        <v>184</v>
      </c>
      <c r="F46" s="97" t="s">
        <v>140</v>
      </c>
      <c r="G46" s="97"/>
      <c r="H46" s="97" t="s">
        <v>166</v>
      </c>
      <c r="I46" s="98">
        <v>2018</v>
      </c>
      <c r="J46" s="98">
        <v>1</v>
      </c>
      <c r="K46" s="99">
        <v>34000000</v>
      </c>
      <c r="L46" s="100" t="s">
        <v>111</v>
      </c>
      <c r="M46" s="95"/>
    </row>
    <row r="47" spans="1:13" ht="34.5" x14ac:dyDescent="0.35">
      <c r="A47" s="94">
        <v>32</v>
      </c>
      <c r="B47" s="95" t="s">
        <v>182</v>
      </c>
      <c r="C47" s="95" t="s">
        <v>183</v>
      </c>
      <c r="D47" s="95">
        <v>12</v>
      </c>
      <c r="E47" s="96" t="s">
        <v>184</v>
      </c>
      <c r="F47" s="97" t="s">
        <v>140</v>
      </c>
      <c r="G47" s="97"/>
      <c r="H47" s="97" t="s">
        <v>166</v>
      </c>
      <c r="I47" s="98">
        <v>2018</v>
      </c>
      <c r="J47" s="98">
        <v>1</v>
      </c>
      <c r="K47" s="99">
        <v>34000000</v>
      </c>
      <c r="L47" s="100" t="s">
        <v>111</v>
      </c>
      <c r="M47" s="95"/>
    </row>
    <row r="48" spans="1:13" ht="34.5" x14ac:dyDescent="0.35">
      <c r="A48" s="94">
        <v>33</v>
      </c>
      <c r="B48" s="95" t="s">
        <v>185</v>
      </c>
      <c r="C48" s="95" t="s">
        <v>186</v>
      </c>
      <c r="D48" s="95">
        <v>5</v>
      </c>
      <c r="E48" s="96" t="s">
        <v>187</v>
      </c>
      <c r="F48" s="97" t="s">
        <v>140</v>
      </c>
      <c r="G48" s="97"/>
      <c r="H48" s="97" t="s">
        <v>150</v>
      </c>
      <c r="I48" s="98">
        <v>2018</v>
      </c>
      <c r="J48" s="98">
        <v>1</v>
      </c>
      <c r="K48" s="99">
        <v>1850000</v>
      </c>
      <c r="L48" s="100" t="s">
        <v>111</v>
      </c>
      <c r="M48" s="95"/>
    </row>
    <row r="49" spans="1:13" ht="46" x14ac:dyDescent="0.35">
      <c r="A49" s="94">
        <v>34</v>
      </c>
      <c r="B49" s="95" t="s">
        <v>188</v>
      </c>
      <c r="C49" s="95" t="s">
        <v>189</v>
      </c>
      <c r="D49" s="95">
        <v>35</v>
      </c>
      <c r="E49" s="96" t="s">
        <v>190</v>
      </c>
      <c r="F49" s="97" t="s">
        <v>140</v>
      </c>
      <c r="G49" s="97"/>
      <c r="H49" s="97"/>
      <c r="I49" s="98">
        <v>2020</v>
      </c>
      <c r="J49" s="98">
        <v>1</v>
      </c>
      <c r="K49" s="99">
        <v>2847205</v>
      </c>
      <c r="L49" s="100" t="s">
        <v>111</v>
      </c>
      <c r="M49" s="95"/>
    </row>
    <row r="50" spans="1:13" ht="46" x14ac:dyDescent="0.35">
      <c r="A50" s="94">
        <v>35</v>
      </c>
      <c r="B50" s="95" t="s">
        <v>188</v>
      </c>
      <c r="C50" s="95" t="s">
        <v>189</v>
      </c>
      <c r="D50" s="95">
        <v>36</v>
      </c>
      <c r="E50" s="96" t="s">
        <v>190</v>
      </c>
      <c r="F50" s="97" t="s">
        <v>140</v>
      </c>
      <c r="G50" s="97"/>
      <c r="H50" s="97"/>
      <c r="I50" s="98">
        <v>2020</v>
      </c>
      <c r="J50" s="98">
        <v>1</v>
      </c>
      <c r="K50" s="99">
        <v>2847205</v>
      </c>
      <c r="L50" s="100" t="s">
        <v>111</v>
      </c>
      <c r="M50" s="95"/>
    </row>
    <row r="51" spans="1:13" ht="46" x14ac:dyDescent="0.35">
      <c r="A51" s="94">
        <v>36</v>
      </c>
      <c r="B51" s="95" t="s">
        <v>188</v>
      </c>
      <c r="C51" s="95" t="s">
        <v>189</v>
      </c>
      <c r="D51" s="95">
        <v>37</v>
      </c>
      <c r="E51" s="96" t="s">
        <v>190</v>
      </c>
      <c r="F51" s="97" t="s">
        <v>140</v>
      </c>
      <c r="G51" s="97"/>
      <c r="H51" s="97"/>
      <c r="I51" s="98">
        <v>2020</v>
      </c>
      <c r="J51" s="98">
        <v>1</v>
      </c>
      <c r="K51" s="99">
        <v>2847205</v>
      </c>
      <c r="L51" s="100" t="s">
        <v>111</v>
      </c>
      <c r="M51" s="95"/>
    </row>
    <row r="52" spans="1:13" ht="46" x14ac:dyDescent="0.35">
      <c r="A52" s="94">
        <v>37</v>
      </c>
      <c r="B52" s="95" t="s">
        <v>188</v>
      </c>
      <c r="C52" s="95" t="s">
        <v>189</v>
      </c>
      <c r="D52" s="95">
        <v>38</v>
      </c>
      <c r="E52" s="96" t="s">
        <v>190</v>
      </c>
      <c r="F52" s="97" t="s">
        <v>140</v>
      </c>
      <c r="G52" s="97"/>
      <c r="H52" s="97"/>
      <c r="I52" s="98">
        <v>2020</v>
      </c>
      <c r="J52" s="98">
        <v>1</v>
      </c>
      <c r="K52" s="99">
        <v>2847205</v>
      </c>
      <c r="L52" s="100" t="s">
        <v>111</v>
      </c>
      <c r="M52" s="95"/>
    </row>
    <row r="53" spans="1:13" ht="46" x14ac:dyDescent="0.35">
      <c r="A53" s="94">
        <v>38</v>
      </c>
      <c r="B53" s="95" t="s">
        <v>188</v>
      </c>
      <c r="C53" s="95" t="s">
        <v>189</v>
      </c>
      <c r="D53" s="95">
        <v>39</v>
      </c>
      <c r="E53" s="96" t="s">
        <v>190</v>
      </c>
      <c r="F53" s="97" t="s">
        <v>140</v>
      </c>
      <c r="G53" s="97"/>
      <c r="H53" s="97"/>
      <c r="I53" s="98">
        <v>2020</v>
      </c>
      <c r="J53" s="98">
        <v>1</v>
      </c>
      <c r="K53" s="99">
        <v>2847205</v>
      </c>
      <c r="L53" s="100" t="s">
        <v>111</v>
      </c>
      <c r="M53" s="95"/>
    </row>
    <row r="54" spans="1:13" ht="34.5" x14ac:dyDescent="0.35">
      <c r="A54" s="94">
        <v>39</v>
      </c>
      <c r="B54" s="95" t="s">
        <v>191</v>
      </c>
      <c r="C54" s="95" t="s">
        <v>192</v>
      </c>
      <c r="D54" s="95">
        <v>48</v>
      </c>
      <c r="E54" s="96" t="s">
        <v>193</v>
      </c>
      <c r="F54" s="97" t="s">
        <v>194</v>
      </c>
      <c r="G54" s="97" t="s">
        <v>195</v>
      </c>
      <c r="H54" s="97" t="s">
        <v>195</v>
      </c>
      <c r="I54" s="98">
        <v>2024</v>
      </c>
      <c r="J54" s="98">
        <v>1</v>
      </c>
      <c r="K54" s="99">
        <v>6235000</v>
      </c>
      <c r="L54" s="100" t="s">
        <v>111</v>
      </c>
      <c r="M54" s="95"/>
    </row>
    <row r="55" spans="1:13" ht="34.5" x14ac:dyDescent="0.35">
      <c r="A55" s="94">
        <v>40</v>
      </c>
      <c r="B55" s="95" t="s">
        <v>191</v>
      </c>
      <c r="C55" s="95" t="s">
        <v>192</v>
      </c>
      <c r="D55" s="95">
        <v>49</v>
      </c>
      <c r="E55" s="96" t="s">
        <v>193</v>
      </c>
      <c r="F55" s="97" t="s">
        <v>194</v>
      </c>
      <c r="G55" s="97" t="s">
        <v>195</v>
      </c>
      <c r="H55" s="97" t="s">
        <v>195</v>
      </c>
      <c r="I55" s="98">
        <v>2024</v>
      </c>
      <c r="J55" s="98">
        <v>1</v>
      </c>
      <c r="K55" s="99">
        <v>6235000</v>
      </c>
      <c r="L55" s="100" t="s">
        <v>111</v>
      </c>
      <c r="M55" s="95"/>
    </row>
    <row r="56" spans="1:13" ht="34.5" x14ac:dyDescent="0.35">
      <c r="A56" s="94">
        <v>41</v>
      </c>
      <c r="B56" s="95" t="s">
        <v>191</v>
      </c>
      <c r="C56" s="95" t="s">
        <v>192</v>
      </c>
      <c r="D56" s="95">
        <v>50</v>
      </c>
      <c r="E56" s="96" t="s">
        <v>193</v>
      </c>
      <c r="F56" s="97" t="s">
        <v>194</v>
      </c>
      <c r="G56" s="97" t="s">
        <v>195</v>
      </c>
      <c r="H56" s="97" t="s">
        <v>195</v>
      </c>
      <c r="I56" s="98">
        <v>2024</v>
      </c>
      <c r="J56" s="98">
        <v>1</v>
      </c>
      <c r="K56" s="99">
        <v>6235000</v>
      </c>
      <c r="L56" s="100" t="s">
        <v>111</v>
      </c>
      <c r="M56" s="95"/>
    </row>
    <row r="57" spans="1:13" ht="34.5" x14ac:dyDescent="0.35">
      <c r="A57" s="94">
        <v>42</v>
      </c>
      <c r="B57" s="95" t="s">
        <v>196</v>
      </c>
      <c r="C57" s="95" t="s">
        <v>197</v>
      </c>
      <c r="D57" s="95">
        <v>4</v>
      </c>
      <c r="E57" s="96"/>
      <c r="F57" s="97" t="s">
        <v>140</v>
      </c>
      <c r="G57" s="97"/>
      <c r="H57" s="97" t="s">
        <v>166</v>
      </c>
      <c r="I57" s="98">
        <v>2021</v>
      </c>
      <c r="J57" s="98">
        <v>1</v>
      </c>
      <c r="K57" s="99">
        <v>300000</v>
      </c>
      <c r="L57" s="100" t="s">
        <v>111</v>
      </c>
      <c r="M57" s="95"/>
    </row>
    <row r="58" spans="1:13" ht="34.5" x14ac:dyDescent="0.35">
      <c r="A58" s="94">
        <v>43</v>
      </c>
      <c r="B58" s="95" t="s">
        <v>196</v>
      </c>
      <c r="C58" s="95" t="s">
        <v>197</v>
      </c>
      <c r="D58" s="95">
        <v>5</v>
      </c>
      <c r="E58" s="96"/>
      <c r="F58" s="97" t="s">
        <v>140</v>
      </c>
      <c r="G58" s="97"/>
      <c r="H58" s="97" t="s">
        <v>166</v>
      </c>
      <c r="I58" s="98">
        <v>2021</v>
      </c>
      <c r="J58" s="98">
        <v>1</v>
      </c>
      <c r="K58" s="99">
        <v>300000</v>
      </c>
      <c r="L58" s="100" t="s">
        <v>111</v>
      </c>
      <c r="M58" s="95"/>
    </row>
    <row r="59" spans="1:13" ht="34.5" x14ac:dyDescent="0.35">
      <c r="A59" s="94">
        <v>44</v>
      </c>
      <c r="B59" s="95" t="s">
        <v>196</v>
      </c>
      <c r="C59" s="95" t="s">
        <v>197</v>
      </c>
      <c r="D59" s="95">
        <v>6</v>
      </c>
      <c r="E59" s="96"/>
      <c r="F59" s="97" t="s">
        <v>140</v>
      </c>
      <c r="G59" s="97"/>
      <c r="H59" s="97" t="s">
        <v>166</v>
      </c>
      <c r="I59" s="98">
        <v>2021</v>
      </c>
      <c r="J59" s="98">
        <v>1</v>
      </c>
      <c r="K59" s="99">
        <v>300000</v>
      </c>
      <c r="L59" s="100" t="s">
        <v>111</v>
      </c>
      <c r="M59" s="95"/>
    </row>
    <row r="60" spans="1:13" ht="34.5" x14ac:dyDescent="0.35">
      <c r="A60" s="94">
        <v>45</v>
      </c>
      <c r="B60" s="95" t="s">
        <v>196</v>
      </c>
      <c r="C60" s="95" t="s">
        <v>197</v>
      </c>
      <c r="D60" s="95">
        <v>7</v>
      </c>
      <c r="E60" s="96"/>
      <c r="F60" s="97" t="s">
        <v>140</v>
      </c>
      <c r="G60" s="97"/>
      <c r="H60" s="97" t="s">
        <v>166</v>
      </c>
      <c r="I60" s="98">
        <v>2021</v>
      </c>
      <c r="J60" s="98">
        <v>1</v>
      </c>
      <c r="K60" s="99">
        <v>300000</v>
      </c>
      <c r="L60" s="100" t="s">
        <v>111</v>
      </c>
      <c r="M60" s="95"/>
    </row>
    <row r="61" spans="1:13" ht="34.5" x14ac:dyDescent="0.35">
      <c r="A61" s="94">
        <v>46</v>
      </c>
      <c r="B61" s="95" t="s">
        <v>196</v>
      </c>
      <c r="C61" s="95" t="s">
        <v>197</v>
      </c>
      <c r="D61" s="95">
        <v>8</v>
      </c>
      <c r="E61" s="96"/>
      <c r="F61" s="97" t="s">
        <v>140</v>
      </c>
      <c r="G61" s="97"/>
      <c r="H61" s="97" t="s">
        <v>166</v>
      </c>
      <c r="I61" s="98">
        <v>2021</v>
      </c>
      <c r="J61" s="98">
        <v>1</v>
      </c>
      <c r="K61" s="99">
        <v>300000</v>
      </c>
      <c r="L61" s="100" t="s">
        <v>111</v>
      </c>
      <c r="M61" s="95"/>
    </row>
    <row r="62" spans="1:13" ht="34.5" x14ac:dyDescent="0.35">
      <c r="A62" s="94">
        <v>47</v>
      </c>
      <c r="B62" s="95" t="s">
        <v>198</v>
      </c>
      <c r="C62" s="95" t="s">
        <v>199</v>
      </c>
      <c r="D62" s="95">
        <v>5</v>
      </c>
      <c r="E62" s="96" t="s">
        <v>200</v>
      </c>
      <c r="F62" s="97" t="s">
        <v>140</v>
      </c>
      <c r="G62" s="97" t="s">
        <v>201</v>
      </c>
      <c r="H62" s="97" t="s">
        <v>166</v>
      </c>
      <c r="I62" s="98">
        <v>2021</v>
      </c>
      <c r="J62" s="98">
        <v>1</v>
      </c>
      <c r="K62" s="99">
        <v>1650000</v>
      </c>
      <c r="L62" s="100" t="s">
        <v>111</v>
      </c>
      <c r="M62" s="95"/>
    </row>
    <row r="63" spans="1:13" ht="46" x14ac:dyDescent="0.35">
      <c r="A63" s="94">
        <v>48</v>
      </c>
      <c r="B63" s="95" t="s">
        <v>202</v>
      </c>
      <c r="C63" s="95" t="s">
        <v>203</v>
      </c>
      <c r="D63" s="95">
        <v>13</v>
      </c>
      <c r="E63" s="96" t="s">
        <v>204</v>
      </c>
      <c r="F63" s="97" t="s">
        <v>140</v>
      </c>
      <c r="G63" s="97"/>
      <c r="H63" s="97" t="s">
        <v>166</v>
      </c>
      <c r="I63" s="98">
        <v>2021</v>
      </c>
      <c r="J63" s="98">
        <v>1</v>
      </c>
      <c r="K63" s="99">
        <v>11231440</v>
      </c>
      <c r="L63" s="100" t="s">
        <v>111</v>
      </c>
      <c r="M63" s="95"/>
    </row>
    <row r="64" spans="1:13" ht="46" x14ac:dyDescent="0.35">
      <c r="A64" s="94">
        <v>49</v>
      </c>
      <c r="B64" s="95" t="s">
        <v>205</v>
      </c>
      <c r="C64" s="95" t="s">
        <v>206</v>
      </c>
      <c r="D64" s="95">
        <v>6</v>
      </c>
      <c r="E64" s="96" t="s">
        <v>207</v>
      </c>
      <c r="F64" s="97" t="s">
        <v>140</v>
      </c>
      <c r="G64" s="97"/>
      <c r="H64" s="97" t="s">
        <v>166</v>
      </c>
      <c r="I64" s="98">
        <v>2022</v>
      </c>
      <c r="J64" s="98">
        <v>1</v>
      </c>
      <c r="K64" s="99">
        <v>27200000</v>
      </c>
      <c r="L64" s="100" t="s">
        <v>111</v>
      </c>
      <c r="M64" s="95"/>
    </row>
    <row r="65" spans="1:13" ht="46" x14ac:dyDescent="0.35">
      <c r="A65" s="94">
        <v>50</v>
      </c>
      <c r="B65" s="95" t="s">
        <v>205</v>
      </c>
      <c r="C65" s="95" t="s">
        <v>206</v>
      </c>
      <c r="D65" s="95">
        <v>7</v>
      </c>
      <c r="E65" s="96" t="s">
        <v>207</v>
      </c>
      <c r="F65" s="97" t="s">
        <v>140</v>
      </c>
      <c r="G65" s="97"/>
      <c r="H65" s="97" t="s">
        <v>166</v>
      </c>
      <c r="I65" s="98">
        <v>2022</v>
      </c>
      <c r="J65" s="98">
        <v>1</v>
      </c>
      <c r="K65" s="99">
        <v>27200000</v>
      </c>
      <c r="L65" s="100" t="s">
        <v>111</v>
      </c>
      <c r="M65" s="95"/>
    </row>
    <row r="66" spans="1:13" ht="46" x14ac:dyDescent="0.35">
      <c r="A66" s="94">
        <v>51</v>
      </c>
      <c r="B66" s="95" t="s">
        <v>208</v>
      </c>
      <c r="C66" s="95" t="s">
        <v>209</v>
      </c>
      <c r="D66" s="95">
        <v>37</v>
      </c>
      <c r="E66" s="96" t="s">
        <v>210</v>
      </c>
      <c r="F66" s="97" t="s">
        <v>140</v>
      </c>
      <c r="G66" s="97"/>
      <c r="H66" s="97" t="s">
        <v>166</v>
      </c>
      <c r="I66" s="98">
        <v>2022</v>
      </c>
      <c r="J66" s="98">
        <v>1</v>
      </c>
      <c r="K66" s="99">
        <v>3671136</v>
      </c>
      <c r="L66" s="100" t="s">
        <v>111</v>
      </c>
      <c r="M66" s="95"/>
    </row>
    <row r="67" spans="1:13" ht="46" x14ac:dyDescent="0.35">
      <c r="A67" s="94">
        <v>52</v>
      </c>
      <c r="B67" s="95" t="s">
        <v>208</v>
      </c>
      <c r="C67" s="95" t="s">
        <v>209</v>
      </c>
      <c r="D67" s="95">
        <v>38</v>
      </c>
      <c r="E67" s="96" t="s">
        <v>210</v>
      </c>
      <c r="F67" s="97" t="s">
        <v>140</v>
      </c>
      <c r="G67" s="97"/>
      <c r="H67" s="97" t="s">
        <v>166</v>
      </c>
      <c r="I67" s="98">
        <v>2022</v>
      </c>
      <c r="J67" s="98">
        <v>1</v>
      </c>
      <c r="K67" s="99">
        <v>3671136</v>
      </c>
      <c r="L67" s="100" t="s">
        <v>111</v>
      </c>
      <c r="M67" s="95"/>
    </row>
    <row r="68" spans="1:13" ht="46" x14ac:dyDescent="0.35">
      <c r="A68" s="94">
        <v>53</v>
      </c>
      <c r="B68" s="95" t="s">
        <v>208</v>
      </c>
      <c r="C68" s="95" t="s">
        <v>209</v>
      </c>
      <c r="D68" s="95">
        <v>39</v>
      </c>
      <c r="E68" s="96" t="s">
        <v>210</v>
      </c>
      <c r="F68" s="97" t="s">
        <v>140</v>
      </c>
      <c r="G68" s="97"/>
      <c r="H68" s="97" t="s">
        <v>166</v>
      </c>
      <c r="I68" s="98">
        <v>2022</v>
      </c>
      <c r="J68" s="98">
        <v>1</v>
      </c>
      <c r="K68" s="99">
        <v>3671136</v>
      </c>
      <c r="L68" s="100" t="s">
        <v>111</v>
      </c>
      <c r="M68" s="95"/>
    </row>
    <row r="69" spans="1:13" ht="46" x14ac:dyDescent="0.35">
      <c r="A69" s="94">
        <v>54</v>
      </c>
      <c r="B69" s="95" t="s">
        <v>208</v>
      </c>
      <c r="C69" s="95" t="s">
        <v>209</v>
      </c>
      <c r="D69" s="95">
        <v>40</v>
      </c>
      <c r="E69" s="96" t="s">
        <v>210</v>
      </c>
      <c r="F69" s="97" t="s">
        <v>140</v>
      </c>
      <c r="G69" s="97"/>
      <c r="H69" s="97" t="s">
        <v>166</v>
      </c>
      <c r="I69" s="98">
        <v>2022</v>
      </c>
      <c r="J69" s="98">
        <v>1</v>
      </c>
      <c r="K69" s="99">
        <v>3671136</v>
      </c>
      <c r="L69" s="100" t="s">
        <v>111</v>
      </c>
      <c r="M69" s="95"/>
    </row>
    <row r="70" spans="1:13" ht="46" x14ac:dyDescent="0.35">
      <c r="A70" s="94">
        <v>55</v>
      </c>
      <c r="B70" s="95" t="s">
        <v>208</v>
      </c>
      <c r="C70" s="95" t="s">
        <v>209</v>
      </c>
      <c r="D70" s="95">
        <v>41</v>
      </c>
      <c r="E70" s="96" t="s">
        <v>210</v>
      </c>
      <c r="F70" s="97" t="s">
        <v>140</v>
      </c>
      <c r="G70" s="97"/>
      <c r="H70" s="97" t="s">
        <v>166</v>
      </c>
      <c r="I70" s="98">
        <v>2022</v>
      </c>
      <c r="J70" s="98">
        <v>1</v>
      </c>
      <c r="K70" s="99">
        <v>3671136</v>
      </c>
      <c r="L70" s="100" t="s">
        <v>111</v>
      </c>
      <c r="M70" s="95"/>
    </row>
    <row r="71" spans="1:13" ht="46" x14ac:dyDescent="0.35">
      <c r="A71" s="94">
        <v>56</v>
      </c>
      <c r="B71" s="95" t="s">
        <v>208</v>
      </c>
      <c r="C71" s="95" t="s">
        <v>209</v>
      </c>
      <c r="D71" s="95">
        <v>42</v>
      </c>
      <c r="E71" s="96" t="s">
        <v>210</v>
      </c>
      <c r="F71" s="97" t="s">
        <v>140</v>
      </c>
      <c r="G71" s="97"/>
      <c r="H71" s="97" t="s">
        <v>166</v>
      </c>
      <c r="I71" s="98">
        <v>2022</v>
      </c>
      <c r="J71" s="98">
        <v>1</v>
      </c>
      <c r="K71" s="99">
        <v>3671136</v>
      </c>
      <c r="L71" s="100" t="s">
        <v>111</v>
      </c>
      <c r="M71" s="95"/>
    </row>
    <row r="72" spans="1:13" ht="46" x14ac:dyDescent="0.35">
      <c r="A72" s="94">
        <v>57</v>
      </c>
      <c r="B72" s="95" t="s">
        <v>211</v>
      </c>
      <c r="C72" s="95" t="s">
        <v>212</v>
      </c>
      <c r="D72" s="95">
        <v>2</v>
      </c>
      <c r="E72" s="96"/>
      <c r="F72" s="97" t="s">
        <v>140</v>
      </c>
      <c r="G72" s="97"/>
      <c r="H72" s="97"/>
      <c r="I72" s="98">
        <v>2022</v>
      </c>
      <c r="J72" s="98">
        <v>1</v>
      </c>
      <c r="K72" s="99">
        <v>2331000</v>
      </c>
      <c r="L72" s="100" t="s">
        <v>111</v>
      </c>
      <c r="M72" s="95"/>
    </row>
    <row r="73" spans="1:13" ht="34.5" x14ac:dyDescent="0.35">
      <c r="A73" s="94">
        <v>58</v>
      </c>
      <c r="B73" s="95" t="s">
        <v>213</v>
      </c>
      <c r="C73" s="95" t="s">
        <v>214</v>
      </c>
      <c r="D73" s="95">
        <v>15</v>
      </c>
      <c r="E73" s="96" t="s">
        <v>215</v>
      </c>
      <c r="F73" s="97" t="s">
        <v>140</v>
      </c>
      <c r="G73" s="97"/>
      <c r="H73" s="97" t="s">
        <v>166</v>
      </c>
      <c r="I73" s="98">
        <v>2022</v>
      </c>
      <c r="J73" s="98">
        <v>1</v>
      </c>
      <c r="K73" s="99">
        <v>18000000</v>
      </c>
      <c r="L73" s="100" t="s">
        <v>111</v>
      </c>
      <c r="M73" s="95"/>
    </row>
    <row r="74" spans="1:13" ht="34.5" x14ac:dyDescent="0.35">
      <c r="A74" s="94">
        <v>59</v>
      </c>
      <c r="B74" s="95" t="s">
        <v>213</v>
      </c>
      <c r="C74" s="95" t="s">
        <v>214</v>
      </c>
      <c r="D74" s="95">
        <v>16</v>
      </c>
      <c r="E74" s="96" t="s">
        <v>215</v>
      </c>
      <c r="F74" s="97" t="s">
        <v>140</v>
      </c>
      <c r="G74" s="97"/>
      <c r="H74" s="97" t="s">
        <v>166</v>
      </c>
      <c r="I74" s="98">
        <v>2022</v>
      </c>
      <c r="J74" s="98">
        <v>1</v>
      </c>
      <c r="K74" s="99">
        <v>18000000</v>
      </c>
      <c r="L74" s="100" t="s">
        <v>111</v>
      </c>
      <c r="M74" s="95"/>
    </row>
    <row r="75" spans="1:13" ht="34.5" x14ac:dyDescent="0.35">
      <c r="A75" s="94">
        <v>60</v>
      </c>
      <c r="B75" s="95" t="s">
        <v>213</v>
      </c>
      <c r="C75" s="95" t="s">
        <v>214</v>
      </c>
      <c r="D75" s="95">
        <v>17</v>
      </c>
      <c r="E75" s="96" t="s">
        <v>215</v>
      </c>
      <c r="F75" s="97" t="s">
        <v>140</v>
      </c>
      <c r="G75" s="97"/>
      <c r="H75" s="97" t="s">
        <v>166</v>
      </c>
      <c r="I75" s="98">
        <v>2022</v>
      </c>
      <c r="J75" s="98">
        <v>1</v>
      </c>
      <c r="K75" s="99">
        <v>18000000</v>
      </c>
      <c r="L75" s="100" t="s">
        <v>111</v>
      </c>
      <c r="M75" s="95"/>
    </row>
    <row r="76" spans="1:13" ht="34.5" x14ac:dyDescent="0.35">
      <c r="A76" s="94">
        <v>61</v>
      </c>
      <c r="B76" s="95" t="s">
        <v>216</v>
      </c>
      <c r="C76" s="95" t="s">
        <v>217</v>
      </c>
      <c r="D76" s="95">
        <v>6</v>
      </c>
      <c r="E76" s="96" t="s">
        <v>218</v>
      </c>
      <c r="F76" s="97" t="s">
        <v>140</v>
      </c>
      <c r="G76" s="97" t="s">
        <v>219</v>
      </c>
      <c r="H76" s="97" t="s">
        <v>220</v>
      </c>
      <c r="I76" s="98">
        <v>2022</v>
      </c>
      <c r="J76" s="98">
        <v>1</v>
      </c>
      <c r="K76" s="99">
        <v>16780000</v>
      </c>
      <c r="L76" s="100" t="s">
        <v>111</v>
      </c>
      <c r="M76" s="95"/>
    </row>
    <row r="77" spans="1:13" ht="34.5" x14ac:dyDescent="0.35">
      <c r="A77" s="94">
        <v>62</v>
      </c>
      <c r="B77" s="95" t="s">
        <v>221</v>
      </c>
      <c r="C77" s="95" t="s">
        <v>222</v>
      </c>
      <c r="D77" s="95">
        <v>1</v>
      </c>
      <c r="E77" s="96" t="s">
        <v>223</v>
      </c>
      <c r="F77" s="97" t="s">
        <v>140</v>
      </c>
      <c r="G77" s="97"/>
      <c r="H77" s="97"/>
      <c r="I77" s="98">
        <v>2022</v>
      </c>
      <c r="J77" s="98">
        <v>1</v>
      </c>
      <c r="K77" s="99">
        <v>4700850</v>
      </c>
      <c r="L77" s="100" t="s">
        <v>111</v>
      </c>
      <c r="M77" s="95"/>
    </row>
    <row r="78" spans="1:13" ht="34.5" x14ac:dyDescent="0.35">
      <c r="A78" s="94">
        <v>63</v>
      </c>
      <c r="B78" s="95" t="s">
        <v>224</v>
      </c>
      <c r="C78" s="95" t="s">
        <v>225</v>
      </c>
      <c r="D78" s="95">
        <v>8</v>
      </c>
      <c r="E78" s="96" t="s">
        <v>226</v>
      </c>
      <c r="F78" s="97" t="s">
        <v>140</v>
      </c>
      <c r="G78" s="97"/>
      <c r="H78" s="97" t="s">
        <v>166</v>
      </c>
      <c r="I78" s="98">
        <v>2022</v>
      </c>
      <c r="J78" s="98">
        <v>1</v>
      </c>
      <c r="K78" s="99">
        <v>6999055</v>
      </c>
      <c r="L78" s="100" t="s">
        <v>111</v>
      </c>
      <c r="M78" s="95"/>
    </row>
    <row r="79" spans="1:13" ht="46" x14ac:dyDescent="0.35">
      <c r="A79" s="94">
        <v>64</v>
      </c>
      <c r="B79" s="95" t="s">
        <v>202</v>
      </c>
      <c r="C79" s="95" t="s">
        <v>227</v>
      </c>
      <c r="D79" s="95">
        <v>18</v>
      </c>
      <c r="E79" s="96" t="s">
        <v>228</v>
      </c>
      <c r="F79" s="97" t="s">
        <v>140</v>
      </c>
      <c r="G79" s="97"/>
      <c r="H79" s="97" t="s">
        <v>166</v>
      </c>
      <c r="I79" s="98">
        <v>2022</v>
      </c>
      <c r="J79" s="98">
        <v>1</v>
      </c>
      <c r="K79" s="99">
        <v>18166667</v>
      </c>
      <c r="L79" s="100" t="s">
        <v>111</v>
      </c>
      <c r="M79" s="95"/>
    </row>
    <row r="80" spans="1:13" ht="46" x14ac:dyDescent="0.35">
      <c r="A80" s="94">
        <v>65</v>
      </c>
      <c r="B80" s="95" t="s">
        <v>202</v>
      </c>
      <c r="C80" s="95" t="s">
        <v>227</v>
      </c>
      <c r="D80" s="95">
        <v>19</v>
      </c>
      <c r="E80" s="96" t="s">
        <v>228</v>
      </c>
      <c r="F80" s="97" t="s">
        <v>140</v>
      </c>
      <c r="G80" s="97"/>
      <c r="H80" s="97" t="s">
        <v>166</v>
      </c>
      <c r="I80" s="98">
        <v>2022</v>
      </c>
      <c r="J80" s="98">
        <v>1</v>
      </c>
      <c r="K80" s="99">
        <v>18166667</v>
      </c>
      <c r="L80" s="100" t="s">
        <v>111</v>
      </c>
      <c r="M80" s="95"/>
    </row>
    <row r="81" spans="1:13" ht="46" x14ac:dyDescent="0.35">
      <c r="A81" s="94">
        <v>66</v>
      </c>
      <c r="B81" s="95" t="s">
        <v>202</v>
      </c>
      <c r="C81" s="95" t="s">
        <v>227</v>
      </c>
      <c r="D81" s="95">
        <v>20</v>
      </c>
      <c r="E81" s="96" t="s">
        <v>228</v>
      </c>
      <c r="F81" s="97" t="s">
        <v>140</v>
      </c>
      <c r="G81" s="97"/>
      <c r="H81" s="97" t="s">
        <v>166</v>
      </c>
      <c r="I81" s="98">
        <v>2022</v>
      </c>
      <c r="J81" s="98">
        <v>1</v>
      </c>
      <c r="K81" s="99">
        <v>18166667</v>
      </c>
      <c r="L81" s="100" t="s">
        <v>111</v>
      </c>
      <c r="M81" s="95"/>
    </row>
    <row r="82" spans="1:13" ht="46" x14ac:dyDescent="0.35">
      <c r="A82" s="94">
        <v>67</v>
      </c>
      <c r="B82" s="95" t="s">
        <v>229</v>
      </c>
      <c r="C82" s="95" t="s">
        <v>230</v>
      </c>
      <c r="D82" s="95">
        <v>2</v>
      </c>
      <c r="E82" s="96" t="s">
        <v>210</v>
      </c>
      <c r="F82" s="97" t="s">
        <v>140</v>
      </c>
      <c r="G82" s="97"/>
      <c r="H82" s="97" t="s">
        <v>166</v>
      </c>
      <c r="I82" s="98">
        <v>2022</v>
      </c>
      <c r="J82" s="98">
        <v>1</v>
      </c>
      <c r="K82" s="99">
        <v>18278200</v>
      </c>
      <c r="L82" s="100" t="s">
        <v>111</v>
      </c>
      <c r="M82" s="95"/>
    </row>
    <row r="83" spans="1:13" ht="34.5" x14ac:dyDescent="0.35">
      <c r="A83" s="94">
        <v>68</v>
      </c>
      <c r="B83" s="95" t="s">
        <v>231</v>
      </c>
      <c r="C83" s="95" t="s">
        <v>232</v>
      </c>
      <c r="D83" s="95">
        <v>2</v>
      </c>
      <c r="E83" s="96" t="s">
        <v>233</v>
      </c>
      <c r="F83" s="97" t="s">
        <v>140</v>
      </c>
      <c r="G83" s="97"/>
      <c r="H83" s="97" t="s">
        <v>166</v>
      </c>
      <c r="I83" s="98">
        <v>2022</v>
      </c>
      <c r="J83" s="98">
        <v>1</v>
      </c>
      <c r="K83" s="99">
        <v>129638969</v>
      </c>
      <c r="L83" s="100" t="s">
        <v>111</v>
      </c>
      <c r="M83" s="95"/>
    </row>
    <row r="84" spans="1:13" ht="34.5" x14ac:dyDescent="0.35">
      <c r="A84" s="94">
        <v>69</v>
      </c>
      <c r="B84" s="95" t="s">
        <v>234</v>
      </c>
      <c r="C84" s="95" t="s">
        <v>235</v>
      </c>
      <c r="D84" s="95">
        <v>2</v>
      </c>
      <c r="E84" s="96" t="s">
        <v>236</v>
      </c>
      <c r="F84" s="97" t="s">
        <v>140</v>
      </c>
      <c r="G84" s="97"/>
      <c r="H84" s="97" t="s">
        <v>166</v>
      </c>
      <c r="I84" s="98">
        <v>2022</v>
      </c>
      <c r="J84" s="98">
        <v>1</v>
      </c>
      <c r="K84" s="99">
        <v>87274220</v>
      </c>
      <c r="L84" s="100" t="s">
        <v>111</v>
      </c>
      <c r="M84" s="95"/>
    </row>
    <row r="85" spans="1:13" ht="34.5" x14ac:dyDescent="0.35">
      <c r="A85" s="94">
        <v>70</v>
      </c>
      <c r="B85" s="95" t="s">
        <v>234</v>
      </c>
      <c r="C85" s="95" t="s">
        <v>235</v>
      </c>
      <c r="D85" s="95">
        <v>3</v>
      </c>
      <c r="E85" s="96" t="s">
        <v>236</v>
      </c>
      <c r="F85" s="97" t="s">
        <v>140</v>
      </c>
      <c r="G85" s="97"/>
      <c r="H85" s="97" t="s">
        <v>166</v>
      </c>
      <c r="I85" s="98">
        <v>2022</v>
      </c>
      <c r="J85" s="98">
        <v>1</v>
      </c>
      <c r="K85" s="99">
        <v>87274220</v>
      </c>
      <c r="L85" s="100" t="s">
        <v>111</v>
      </c>
      <c r="M85" s="95"/>
    </row>
    <row r="86" spans="1:13" ht="34.5" x14ac:dyDescent="0.35">
      <c r="A86" s="94">
        <v>71</v>
      </c>
      <c r="B86" s="95" t="s">
        <v>234</v>
      </c>
      <c r="C86" s="95" t="s">
        <v>235</v>
      </c>
      <c r="D86" s="95">
        <v>4</v>
      </c>
      <c r="E86" s="96" t="s">
        <v>236</v>
      </c>
      <c r="F86" s="97" t="s">
        <v>140</v>
      </c>
      <c r="G86" s="97"/>
      <c r="H86" s="97" t="s">
        <v>166</v>
      </c>
      <c r="I86" s="98">
        <v>2022</v>
      </c>
      <c r="J86" s="98">
        <v>1</v>
      </c>
      <c r="K86" s="99">
        <v>87274220</v>
      </c>
      <c r="L86" s="100" t="s">
        <v>111</v>
      </c>
      <c r="M86" s="95"/>
    </row>
    <row r="87" spans="1:13" ht="34.5" x14ac:dyDescent="0.35">
      <c r="A87" s="94">
        <v>72</v>
      </c>
      <c r="B87" s="95" t="s">
        <v>234</v>
      </c>
      <c r="C87" s="95" t="s">
        <v>235</v>
      </c>
      <c r="D87" s="95">
        <v>15</v>
      </c>
      <c r="E87" s="96" t="s">
        <v>236</v>
      </c>
      <c r="F87" s="97" t="s">
        <v>140</v>
      </c>
      <c r="G87" s="97"/>
      <c r="H87" s="97" t="s">
        <v>166</v>
      </c>
      <c r="I87" s="98">
        <v>2022</v>
      </c>
      <c r="J87" s="98">
        <v>1</v>
      </c>
      <c r="K87" s="99">
        <v>87274220</v>
      </c>
      <c r="L87" s="100" t="s">
        <v>111</v>
      </c>
      <c r="M87" s="95"/>
    </row>
    <row r="88" spans="1:13" ht="46" x14ac:dyDescent="0.35">
      <c r="A88" s="94">
        <v>73</v>
      </c>
      <c r="B88" s="95" t="s">
        <v>237</v>
      </c>
      <c r="C88" s="95" t="s">
        <v>238</v>
      </c>
      <c r="D88" s="95">
        <v>2</v>
      </c>
      <c r="E88" s="96" t="s">
        <v>239</v>
      </c>
      <c r="F88" s="97" t="s">
        <v>140</v>
      </c>
      <c r="G88" s="97" t="s">
        <v>240</v>
      </c>
      <c r="H88" s="97" t="s">
        <v>166</v>
      </c>
      <c r="I88" s="98">
        <v>2022</v>
      </c>
      <c r="J88" s="98">
        <v>1</v>
      </c>
      <c r="K88" s="99">
        <v>82274000</v>
      </c>
      <c r="L88" s="100" t="s">
        <v>111</v>
      </c>
      <c r="M88" s="95"/>
    </row>
    <row r="89" spans="1:13" ht="34.5" x14ac:dyDescent="0.35">
      <c r="A89" s="94">
        <v>74</v>
      </c>
      <c r="B89" s="95" t="s">
        <v>241</v>
      </c>
      <c r="C89" s="95" t="s">
        <v>242</v>
      </c>
      <c r="D89" s="95">
        <v>32</v>
      </c>
      <c r="E89" s="96" t="s">
        <v>243</v>
      </c>
      <c r="F89" s="97" t="s">
        <v>140</v>
      </c>
      <c r="G89" s="97"/>
      <c r="H89" s="97" t="s">
        <v>166</v>
      </c>
      <c r="I89" s="98">
        <v>2023</v>
      </c>
      <c r="J89" s="98">
        <v>1</v>
      </c>
      <c r="K89" s="99">
        <v>500000</v>
      </c>
      <c r="L89" s="100" t="s">
        <v>111</v>
      </c>
      <c r="M89" s="95"/>
    </row>
    <row r="90" spans="1:13" ht="34.5" x14ac:dyDescent="0.35">
      <c r="A90" s="94">
        <v>75</v>
      </c>
      <c r="B90" s="95" t="s">
        <v>241</v>
      </c>
      <c r="C90" s="95" t="s">
        <v>242</v>
      </c>
      <c r="D90" s="95">
        <v>33</v>
      </c>
      <c r="E90" s="96" t="s">
        <v>243</v>
      </c>
      <c r="F90" s="97" t="s">
        <v>140</v>
      </c>
      <c r="G90" s="97"/>
      <c r="H90" s="97" t="s">
        <v>166</v>
      </c>
      <c r="I90" s="98">
        <v>2023</v>
      </c>
      <c r="J90" s="98">
        <v>1</v>
      </c>
      <c r="K90" s="99">
        <v>500000</v>
      </c>
      <c r="L90" s="100" t="s">
        <v>111</v>
      </c>
      <c r="M90" s="95"/>
    </row>
    <row r="91" spans="1:13" ht="34.5" x14ac:dyDescent="0.35">
      <c r="A91" s="94">
        <v>76</v>
      </c>
      <c r="B91" s="95" t="s">
        <v>241</v>
      </c>
      <c r="C91" s="95" t="s">
        <v>242</v>
      </c>
      <c r="D91" s="95">
        <v>34</v>
      </c>
      <c r="E91" s="96" t="s">
        <v>243</v>
      </c>
      <c r="F91" s="97" t="s">
        <v>140</v>
      </c>
      <c r="G91" s="97"/>
      <c r="H91" s="97" t="s">
        <v>166</v>
      </c>
      <c r="I91" s="98">
        <v>2023</v>
      </c>
      <c r="J91" s="98">
        <v>1</v>
      </c>
      <c r="K91" s="99">
        <v>500000</v>
      </c>
      <c r="L91" s="100" t="s">
        <v>111</v>
      </c>
      <c r="M91" s="95"/>
    </row>
    <row r="92" spans="1:13" ht="34.5" x14ac:dyDescent="0.35">
      <c r="A92" s="94">
        <v>77</v>
      </c>
      <c r="B92" s="95" t="s">
        <v>241</v>
      </c>
      <c r="C92" s="95" t="s">
        <v>242</v>
      </c>
      <c r="D92" s="95">
        <v>35</v>
      </c>
      <c r="E92" s="96" t="s">
        <v>243</v>
      </c>
      <c r="F92" s="97" t="s">
        <v>140</v>
      </c>
      <c r="G92" s="97"/>
      <c r="H92" s="97" t="s">
        <v>166</v>
      </c>
      <c r="I92" s="98">
        <v>2023</v>
      </c>
      <c r="J92" s="98">
        <v>1</v>
      </c>
      <c r="K92" s="99">
        <v>500000</v>
      </c>
      <c r="L92" s="100" t="s">
        <v>111</v>
      </c>
      <c r="M92" s="95"/>
    </row>
    <row r="93" spans="1:13" ht="34.5" x14ac:dyDescent="0.35">
      <c r="A93" s="94">
        <v>78</v>
      </c>
      <c r="B93" s="95" t="s">
        <v>241</v>
      </c>
      <c r="C93" s="95" t="s">
        <v>242</v>
      </c>
      <c r="D93" s="95">
        <v>36</v>
      </c>
      <c r="E93" s="96" t="s">
        <v>243</v>
      </c>
      <c r="F93" s="97" t="s">
        <v>140</v>
      </c>
      <c r="G93" s="97"/>
      <c r="H93" s="97" t="s">
        <v>166</v>
      </c>
      <c r="I93" s="98">
        <v>2023</v>
      </c>
      <c r="J93" s="98">
        <v>1</v>
      </c>
      <c r="K93" s="99">
        <v>500000</v>
      </c>
      <c r="L93" s="100" t="s">
        <v>111</v>
      </c>
      <c r="M93" s="95"/>
    </row>
    <row r="94" spans="1:13" ht="34.5" x14ac:dyDescent="0.35">
      <c r="A94" s="94">
        <v>79</v>
      </c>
      <c r="B94" s="95" t="s">
        <v>196</v>
      </c>
      <c r="C94" s="95" t="s">
        <v>242</v>
      </c>
      <c r="D94" s="95">
        <v>69</v>
      </c>
      <c r="E94" s="96" t="s">
        <v>244</v>
      </c>
      <c r="F94" s="97" t="s">
        <v>140</v>
      </c>
      <c r="G94" s="97"/>
      <c r="H94" s="97" t="s">
        <v>245</v>
      </c>
      <c r="I94" s="98">
        <v>2023</v>
      </c>
      <c r="J94" s="98">
        <v>1</v>
      </c>
      <c r="K94" s="99">
        <v>498000</v>
      </c>
      <c r="L94" s="100" t="s">
        <v>111</v>
      </c>
      <c r="M94" s="95"/>
    </row>
    <row r="95" spans="1:13" ht="34.5" x14ac:dyDescent="0.35">
      <c r="A95" s="94">
        <v>80</v>
      </c>
      <c r="B95" s="95" t="s">
        <v>196</v>
      </c>
      <c r="C95" s="95" t="s">
        <v>242</v>
      </c>
      <c r="D95" s="95">
        <v>70</v>
      </c>
      <c r="E95" s="96" t="s">
        <v>244</v>
      </c>
      <c r="F95" s="97" t="s">
        <v>140</v>
      </c>
      <c r="G95" s="97"/>
      <c r="H95" s="97" t="s">
        <v>245</v>
      </c>
      <c r="I95" s="98">
        <v>2023</v>
      </c>
      <c r="J95" s="98">
        <v>1</v>
      </c>
      <c r="K95" s="99">
        <v>498000</v>
      </c>
      <c r="L95" s="100" t="s">
        <v>111</v>
      </c>
      <c r="M95" s="95"/>
    </row>
    <row r="96" spans="1:13" ht="34.5" x14ac:dyDescent="0.35">
      <c r="A96" s="94">
        <v>81</v>
      </c>
      <c r="B96" s="95" t="s">
        <v>196</v>
      </c>
      <c r="C96" s="95" t="s">
        <v>242</v>
      </c>
      <c r="D96" s="95">
        <v>71</v>
      </c>
      <c r="E96" s="96" t="s">
        <v>244</v>
      </c>
      <c r="F96" s="97" t="s">
        <v>140</v>
      </c>
      <c r="G96" s="97"/>
      <c r="H96" s="97" t="s">
        <v>245</v>
      </c>
      <c r="I96" s="98">
        <v>2023</v>
      </c>
      <c r="J96" s="98">
        <v>1</v>
      </c>
      <c r="K96" s="99">
        <v>498000</v>
      </c>
      <c r="L96" s="100" t="s">
        <v>111</v>
      </c>
      <c r="M96" s="95"/>
    </row>
    <row r="97" spans="1:13" ht="46" x14ac:dyDescent="0.35">
      <c r="A97" s="94">
        <v>82</v>
      </c>
      <c r="B97" s="95" t="s">
        <v>246</v>
      </c>
      <c r="C97" s="95" t="s">
        <v>247</v>
      </c>
      <c r="D97" s="95">
        <v>4</v>
      </c>
      <c r="E97" s="96" t="s">
        <v>248</v>
      </c>
      <c r="F97" s="97" t="s">
        <v>140</v>
      </c>
      <c r="G97" s="97"/>
      <c r="H97" s="97" t="s">
        <v>249</v>
      </c>
      <c r="I97" s="98">
        <v>2023</v>
      </c>
      <c r="J97" s="98">
        <v>1</v>
      </c>
      <c r="K97" s="99">
        <v>2500000</v>
      </c>
      <c r="L97" s="100" t="s">
        <v>111</v>
      </c>
      <c r="M97" s="95"/>
    </row>
    <row r="98" spans="1:13" ht="34.5" x14ac:dyDescent="0.35">
      <c r="A98" s="94">
        <v>83</v>
      </c>
      <c r="B98" s="95" t="s">
        <v>250</v>
      </c>
      <c r="C98" s="95" t="s">
        <v>251</v>
      </c>
      <c r="D98" s="95">
        <v>3</v>
      </c>
      <c r="E98" s="96" t="s">
        <v>252</v>
      </c>
      <c r="F98" s="97" t="s">
        <v>140</v>
      </c>
      <c r="G98" s="97"/>
      <c r="H98" s="97" t="s">
        <v>166</v>
      </c>
      <c r="I98" s="98">
        <v>2023</v>
      </c>
      <c r="J98" s="98">
        <v>1</v>
      </c>
      <c r="K98" s="99">
        <v>5217000</v>
      </c>
      <c r="L98" s="100" t="s">
        <v>111</v>
      </c>
      <c r="M98" s="95"/>
    </row>
    <row r="99" spans="1:13" ht="34.5" x14ac:dyDescent="0.35">
      <c r="A99" s="94">
        <v>84</v>
      </c>
      <c r="B99" s="95" t="s">
        <v>253</v>
      </c>
      <c r="C99" s="95" t="s">
        <v>254</v>
      </c>
      <c r="D99" s="95">
        <v>1</v>
      </c>
      <c r="E99" s="96" t="s">
        <v>255</v>
      </c>
      <c r="F99" s="97" t="s">
        <v>140</v>
      </c>
      <c r="G99" s="97"/>
      <c r="H99" s="97" t="s">
        <v>166</v>
      </c>
      <c r="I99" s="98">
        <v>2023</v>
      </c>
      <c r="J99" s="98">
        <v>1</v>
      </c>
      <c r="K99" s="99">
        <v>5000000</v>
      </c>
      <c r="L99" s="100" t="s">
        <v>111</v>
      </c>
      <c r="M99" s="95"/>
    </row>
    <row r="100" spans="1:13" ht="34.5" x14ac:dyDescent="0.35">
      <c r="A100" s="94">
        <v>85</v>
      </c>
      <c r="B100" s="95" t="s">
        <v>256</v>
      </c>
      <c r="C100" s="95" t="s">
        <v>257</v>
      </c>
      <c r="D100" s="95">
        <v>9</v>
      </c>
      <c r="E100" s="96" t="s">
        <v>258</v>
      </c>
      <c r="F100" s="97" t="s">
        <v>140</v>
      </c>
      <c r="G100" s="97"/>
      <c r="H100" s="97" t="s">
        <v>166</v>
      </c>
      <c r="I100" s="98">
        <v>2023</v>
      </c>
      <c r="J100" s="98">
        <v>1</v>
      </c>
      <c r="K100" s="99">
        <v>18532000</v>
      </c>
      <c r="L100" s="100" t="s">
        <v>111</v>
      </c>
      <c r="M100" s="95"/>
    </row>
    <row r="101" spans="1:13" ht="34.5" x14ac:dyDescent="0.35">
      <c r="A101" s="94">
        <v>86</v>
      </c>
      <c r="B101" s="95" t="s">
        <v>256</v>
      </c>
      <c r="C101" s="95" t="s">
        <v>257</v>
      </c>
      <c r="D101" s="95">
        <v>10</v>
      </c>
      <c r="E101" s="96" t="s">
        <v>258</v>
      </c>
      <c r="F101" s="97" t="s">
        <v>140</v>
      </c>
      <c r="G101" s="97"/>
      <c r="H101" s="97" t="s">
        <v>166</v>
      </c>
      <c r="I101" s="98">
        <v>2023</v>
      </c>
      <c r="J101" s="98">
        <v>1</v>
      </c>
      <c r="K101" s="99">
        <v>18532000</v>
      </c>
      <c r="L101" s="100" t="s">
        <v>111</v>
      </c>
      <c r="M101" s="95"/>
    </row>
    <row r="102" spans="1:13" ht="34.5" x14ac:dyDescent="0.35">
      <c r="A102" s="94">
        <v>87</v>
      </c>
      <c r="B102" s="95" t="s">
        <v>259</v>
      </c>
      <c r="C102" s="95" t="s">
        <v>260</v>
      </c>
      <c r="D102" s="95">
        <v>7</v>
      </c>
      <c r="E102" s="96" t="s">
        <v>261</v>
      </c>
      <c r="F102" s="97" t="s">
        <v>140</v>
      </c>
      <c r="G102" s="97"/>
      <c r="H102" s="97" t="s">
        <v>166</v>
      </c>
      <c r="I102" s="98">
        <v>2023</v>
      </c>
      <c r="J102" s="98">
        <v>1</v>
      </c>
      <c r="K102" s="99">
        <v>4995000</v>
      </c>
      <c r="L102" s="100" t="s">
        <v>111</v>
      </c>
      <c r="M102" s="95"/>
    </row>
    <row r="103" spans="1:13" ht="34.5" x14ac:dyDescent="0.35">
      <c r="A103" s="94">
        <v>88</v>
      </c>
      <c r="B103" s="95" t="s">
        <v>259</v>
      </c>
      <c r="C103" s="95" t="s">
        <v>260</v>
      </c>
      <c r="D103" s="95">
        <v>8</v>
      </c>
      <c r="E103" s="96" t="s">
        <v>261</v>
      </c>
      <c r="F103" s="97" t="s">
        <v>140</v>
      </c>
      <c r="G103" s="97"/>
      <c r="H103" s="97" t="s">
        <v>166</v>
      </c>
      <c r="I103" s="98">
        <v>2023</v>
      </c>
      <c r="J103" s="98">
        <v>1</v>
      </c>
      <c r="K103" s="99">
        <v>4995000</v>
      </c>
      <c r="L103" s="100" t="s">
        <v>111</v>
      </c>
      <c r="M103" s="95"/>
    </row>
    <row r="104" spans="1:13" ht="46" x14ac:dyDescent="0.35">
      <c r="A104" s="94">
        <v>89</v>
      </c>
      <c r="B104" s="95" t="s">
        <v>262</v>
      </c>
      <c r="C104" s="95" t="s">
        <v>263</v>
      </c>
      <c r="D104" s="95">
        <v>16</v>
      </c>
      <c r="E104" s="96" t="s">
        <v>264</v>
      </c>
      <c r="F104" s="97" t="s">
        <v>140</v>
      </c>
      <c r="G104" s="97" t="s">
        <v>265</v>
      </c>
      <c r="H104" s="97" t="s">
        <v>266</v>
      </c>
      <c r="I104" s="98">
        <v>2024</v>
      </c>
      <c r="J104" s="98">
        <v>1</v>
      </c>
      <c r="K104" s="99">
        <v>4300000</v>
      </c>
      <c r="L104" s="100" t="s">
        <v>111</v>
      </c>
      <c r="M104" s="95"/>
    </row>
    <row r="105" spans="1:13" ht="46" x14ac:dyDescent="0.35">
      <c r="A105" s="94">
        <v>90</v>
      </c>
      <c r="B105" s="95" t="s">
        <v>267</v>
      </c>
      <c r="C105" s="95" t="s">
        <v>268</v>
      </c>
      <c r="D105" s="95">
        <v>4</v>
      </c>
      <c r="E105" s="96" t="s">
        <v>269</v>
      </c>
      <c r="F105" s="97" t="s">
        <v>140</v>
      </c>
      <c r="G105" s="97" t="s">
        <v>270</v>
      </c>
      <c r="H105" s="97" t="s">
        <v>166</v>
      </c>
      <c r="I105" s="98">
        <v>2024</v>
      </c>
      <c r="J105" s="98">
        <v>1</v>
      </c>
      <c r="K105" s="99">
        <v>3300000</v>
      </c>
      <c r="L105" s="100" t="s">
        <v>111</v>
      </c>
      <c r="M105" s="95"/>
    </row>
    <row r="106" spans="1:13" ht="34.5" x14ac:dyDescent="0.35">
      <c r="A106" s="94">
        <v>91</v>
      </c>
      <c r="B106" s="95" t="s">
        <v>271</v>
      </c>
      <c r="C106" s="95" t="s">
        <v>272</v>
      </c>
      <c r="D106" s="95">
        <v>1</v>
      </c>
      <c r="E106" s="96" t="s">
        <v>139</v>
      </c>
      <c r="F106" s="97" t="s">
        <v>140</v>
      </c>
      <c r="G106" s="97"/>
      <c r="H106" s="97" t="s">
        <v>273</v>
      </c>
      <c r="I106" s="98">
        <v>2024</v>
      </c>
      <c r="J106" s="98">
        <v>1</v>
      </c>
      <c r="K106" s="99">
        <v>1332000</v>
      </c>
      <c r="L106" s="100" t="s">
        <v>111</v>
      </c>
      <c r="M106" s="95"/>
    </row>
    <row r="107" spans="1:13" ht="34.5" x14ac:dyDescent="0.35">
      <c r="A107" s="94">
        <v>92</v>
      </c>
      <c r="B107" s="95" t="s">
        <v>271</v>
      </c>
      <c r="C107" s="95" t="s">
        <v>272</v>
      </c>
      <c r="D107" s="95">
        <v>2</v>
      </c>
      <c r="E107" s="96" t="s">
        <v>139</v>
      </c>
      <c r="F107" s="97" t="s">
        <v>140</v>
      </c>
      <c r="G107" s="97"/>
      <c r="H107" s="97" t="s">
        <v>273</v>
      </c>
      <c r="I107" s="98">
        <v>2024</v>
      </c>
      <c r="J107" s="98">
        <v>1</v>
      </c>
      <c r="K107" s="99">
        <v>1332000</v>
      </c>
      <c r="L107" s="100" t="s">
        <v>111</v>
      </c>
      <c r="M107" s="95"/>
    </row>
    <row r="108" spans="1:13" ht="34.5" x14ac:dyDescent="0.35">
      <c r="A108" s="94">
        <v>93</v>
      </c>
      <c r="B108" s="95" t="s">
        <v>271</v>
      </c>
      <c r="C108" s="95" t="s">
        <v>272</v>
      </c>
      <c r="D108" s="95">
        <v>3</v>
      </c>
      <c r="E108" s="96" t="s">
        <v>139</v>
      </c>
      <c r="F108" s="97" t="s">
        <v>140</v>
      </c>
      <c r="G108" s="97"/>
      <c r="H108" s="97" t="s">
        <v>273</v>
      </c>
      <c r="I108" s="98">
        <v>2024</v>
      </c>
      <c r="J108" s="98">
        <v>1</v>
      </c>
      <c r="K108" s="99">
        <v>1332000</v>
      </c>
      <c r="L108" s="100" t="s">
        <v>111</v>
      </c>
      <c r="M108" s="95"/>
    </row>
    <row r="109" spans="1:13" ht="34.5" x14ac:dyDescent="0.35">
      <c r="A109" s="94">
        <v>94</v>
      </c>
      <c r="B109" s="95" t="s">
        <v>271</v>
      </c>
      <c r="C109" s="95" t="s">
        <v>272</v>
      </c>
      <c r="D109" s="95">
        <v>5</v>
      </c>
      <c r="E109" s="96" t="s">
        <v>139</v>
      </c>
      <c r="F109" s="97" t="s">
        <v>140</v>
      </c>
      <c r="G109" s="97"/>
      <c r="H109" s="97" t="s">
        <v>273</v>
      </c>
      <c r="I109" s="98">
        <v>2024</v>
      </c>
      <c r="J109" s="98">
        <v>1</v>
      </c>
      <c r="K109" s="99">
        <v>1332000</v>
      </c>
      <c r="L109" s="100" t="s">
        <v>111</v>
      </c>
      <c r="M109" s="95"/>
    </row>
    <row r="110" spans="1:13" ht="34.5" x14ac:dyDescent="0.35">
      <c r="A110" s="94">
        <v>95</v>
      </c>
      <c r="B110" s="95" t="s">
        <v>271</v>
      </c>
      <c r="C110" s="95" t="s">
        <v>272</v>
      </c>
      <c r="D110" s="95">
        <v>7</v>
      </c>
      <c r="E110" s="96" t="s">
        <v>139</v>
      </c>
      <c r="F110" s="97" t="s">
        <v>140</v>
      </c>
      <c r="G110" s="97"/>
      <c r="H110" s="97" t="s">
        <v>273</v>
      </c>
      <c r="I110" s="98">
        <v>2024</v>
      </c>
      <c r="J110" s="98">
        <v>1</v>
      </c>
      <c r="K110" s="99">
        <v>1332000</v>
      </c>
      <c r="L110" s="100" t="s">
        <v>111</v>
      </c>
      <c r="M110" s="95"/>
    </row>
    <row r="111" spans="1:13" ht="34.5" x14ac:dyDescent="0.35">
      <c r="A111" s="94">
        <v>96</v>
      </c>
      <c r="B111" s="95" t="s">
        <v>271</v>
      </c>
      <c r="C111" s="95" t="s">
        <v>272</v>
      </c>
      <c r="D111" s="95">
        <v>8</v>
      </c>
      <c r="E111" s="96" t="s">
        <v>139</v>
      </c>
      <c r="F111" s="97" t="s">
        <v>140</v>
      </c>
      <c r="G111" s="97"/>
      <c r="H111" s="97" t="s">
        <v>273</v>
      </c>
      <c r="I111" s="98">
        <v>2024</v>
      </c>
      <c r="J111" s="98">
        <v>1</v>
      </c>
      <c r="K111" s="99">
        <v>1332000</v>
      </c>
      <c r="L111" s="100" t="s">
        <v>111</v>
      </c>
      <c r="M111" s="95"/>
    </row>
    <row r="112" spans="1:13" ht="34.5" x14ac:dyDescent="0.35">
      <c r="A112" s="94">
        <v>97</v>
      </c>
      <c r="B112" s="95" t="s">
        <v>271</v>
      </c>
      <c r="C112" s="95" t="s">
        <v>272</v>
      </c>
      <c r="D112" s="95">
        <v>9</v>
      </c>
      <c r="E112" s="96" t="s">
        <v>139</v>
      </c>
      <c r="F112" s="97" t="s">
        <v>140</v>
      </c>
      <c r="G112" s="97"/>
      <c r="H112" s="97" t="s">
        <v>273</v>
      </c>
      <c r="I112" s="98">
        <v>2024</v>
      </c>
      <c r="J112" s="98">
        <v>1</v>
      </c>
      <c r="K112" s="99">
        <v>1332000</v>
      </c>
      <c r="L112" s="100" t="s">
        <v>111</v>
      </c>
      <c r="M112" s="95"/>
    </row>
    <row r="113" spans="1:13" ht="34.5" x14ac:dyDescent="0.35">
      <c r="A113" s="94">
        <v>98</v>
      </c>
      <c r="B113" s="95" t="s">
        <v>271</v>
      </c>
      <c r="C113" s="95" t="s">
        <v>272</v>
      </c>
      <c r="D113" s="95">
        <v>10</v>
      </c>
      <c r="E113" s="96" t="s">
        <v>139</v>
      </c>
      <c r="F113" s="97" t="s">
        <v>140</v>
      </c>
      <c r="G113" s="97"/>
      <c r="H113" s="97" t="s">
        <v>273</v>
      </c>
      <c r="I113" s="98">
        <v>2024</v>
      </c>
      <c r="J113" s="98">
        <v>1</v>
      </c>
      <c r="K113" s="99">
        <v>1332000</v>
      </c>
      <c r="L113" s="100" t="s">
        <v>111</v>
      </c>
      <c r="M113" s="95"/>
    </row>
    <row r="114" spans="1:13" ht="46" x14ac:dyDescent="0.35">
      <c r="A114" s="94">
        <v>99</v>
      </c>
      <c r="B114" s="95" t="s">
        <v>237</v>
      </c>
      <c r="C114" s="95" t="s">
        <v>274</v>
      </c>
      <c r="D114" s="95">
        <v>1</v>
      </c>
      <c r="E114" s="96" t="s">
        <v>275</v>
      </c>
      <c r="F114" s="97" t="s">
        <v>276</v>
      </c>
      <c r="G114" s="97" t="s">
        <v>277</v>
      </c>
      <c r="H114" s="97" t="s">
        <v>166</v>
      </c>
      <c r="I114" s="98">
        <v>2024</v>
      </c>
      <c r="J114" s="98">
        <v>1</v>
      </c>
      <c r="K114" s="99">
        <v>102000000</v>
      </c>
      <c r="L114" s="100" t="s">
        <v>111</v>
      </c>
      <c r="M114" s="95"/>
    </row>
    <row r="115" spans="1:13" ht="34.5" x14ac:dyDescent="0.35">
      <c r="A115" s="94">
        <v>100</v>
      </c>
      <c r="B115" s="95" t="s">
        <v>278</v>
      </c>
      <c r="C115" s="95" t="s">
        <v>279</v>
      </c>
      <c r="D115" s="95">
        <v>12</v>
      </c>
      <c r="E115" s="96" t="s">
        <v>280</v>
      </c>
      <c r="F115" s="97" t="s">
        <v>140</v>
      </c>
      <c r="G115" s="97" t="s">
        <v>281</v>
      </c>
      <c r="H115" s="97" t="s">
        <v>166</v>
      </c>
      <c r="I115" s="98">
        <v>2024</v>
      </c>
      <c r="J115" s="98">
        <v>1</v>
      </c>
      <c r="K115" s="99">
        <v>14750000</v>
      </c>
      <c r="L115" s="100" t="s">
        <v>111</v>
      </c>
      <c r="M115" s="95"/>
    </row>
    <row r="116" spans="1:13" x14ac:dyDescent="0.35">
      <c r="A116" s="94"/>
      <c r="B116" s="95"/>
      <c r="C116" s="95"/>
      <c r="D116" s="95"/>
      <c r="E116" s="96"/>
      <c r="F116" s="97"/>
      <c r="G116" s="97"/>
      <c r="H116" s="97"/>
      <c r="I116" s="98"/>
      <c r="J116" s="98"/>
      <c r="K116" s="99"/>
      <c r="L116" s="100"/>
      <c r="M116" s="95"/>
    </row>
    <row r="117" spans="1:13" ht="7.5" customHeight="1" x14ac:dyDescent="0.35">
      <c r="A117" s="15"/>
      <c r="B117" s="16"/>
      <c r="C117" s="16"/>
      <c r="D117" s="16"/>
      <c r="E117" s="32"/>
      <c r="F117" s="20"/>
      <c r="G117" s="20"/>
      <c r="H117" s="20"/>
      <c r="I117" s="18"/>
      <c r="J117" s="18"/>
      <c r="K117" s="74"/>
      <c r="L117" s="44"/>
      <c r="M117" s="16"/>
    </row>
    <row r="118" spans="1:13" x14ac:dyDescent="0.35">
      <c r="A118" s="23"/>
      <c r="B118" s="24"/>
      <c r="C118" s="24"/>
      <c r="D118" s="24"/>
      <c r="E118" s="24"/>
      <c r="F118" s="24"/>
      <c r="G118" s="24"/>
      <c r="H118" s="34" t="s">
        <v>22</v>
      </c>
      <c r="I118" s="26"/>
      <c r="J118" s="26"/>
      <c r="K118" s="78">
        <f>SUM(K16:K117)</f>
        <v>3846542991</v>
      </c>
      <c r="L118" s="45"/>
      <c r="M118" s="27"/>
    </row>
    <row r="120" spans="1:13" x14ac:dyDescent="0.35">
      <c r="C120" s="28" t="s">
        <v>23</v>
      </c>
      <c r="E120" s="28"/>
      <c r="L120" s="149" t="s">
        <v>120</v>
      </c>
      <c r="M120" s="149"/>
    </row>
    <row r="121" spans="1:13" x14ac:dyDescent="0.35">
      <c r="C121" s="28" t="s">
        <v>81</v>
      </c>
      <c r="E121" s="28"/>
      <c r="L121" s="149" t="s">
        <v>82</v>
      </c>
      <c r="M121" s="149"/>
    </row>
    <row r="125" spans="1:13" x14ac:dyDescent="0.35">
      <c r="C125" s="28" t="s">
        <v>133</v>
      </c>
      <c r="E125" s="28"/>
      <c r="L125" s="149" t="s">
        <v>135</v>
      </c>
      <c r="M125" s="149"/>
    </row>
    <row r="126" spans="1:13" x14ac:dyDescent="0.35">
      <c r="C126" s="28" t="s">
        <v>134</v>
      </c>
      <c r="E126" s="28"/>
      <c r="L126" s="149" t="s">
        <v>136</v>
      </c>
      <c r="M126" s="149"/>
    </row>
  </sheetData>
  <mergeCells count="16">
    <mergeCell ref="L121:M121"/>
    <mergeCell ref="L125:M125"/>
    <mergeCell ref="L126:M126"/>
    <mergeCell ref="H12:H14"/>
    <mergeCell ref="I12:I14"/>
    <mergeCell ref="K12:K14"/>
    <mergeCell ref="L12:L14"/>
    <mergeCell ref="M12:M14"/>
    <mergeCell ref="L120:M120"/>
    <mergeCell ref="J12:J14"/>
    <mergeCell ref="G12:G14"/>
    <mergeCell ref="A12:A14"/>
    <mergeCell ref="B12:B14"/>
    <mergeCell ref="C12:D13"/>
    <mergeCell ref="E12:E14"/>
    <mergeCell ref="F12:F14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70" orientation="landscape" horizontalDpi="0" verticalDpi="0" r:id="rId1"/>
  <headerFooter>
    <oddFooter>&amp;RHal &amp;P dari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24"/>
  <sheetViews>
    <sheetView zoomScale="87" zoomScaleNormal="87" workbookViewId="0">
      <selection activeCell="A14" sqref="A14"/>
    </sheetView>
  </sheetViews>
  <sheetFormatPr defaultRowHeight="14.5" x14ac:dyDescent="0.35"/>
  <cols>
    <col min="1" max="1" width="5.26953125" customWidth="1"/>
    <col min="2" max="2" width="26.81640625" customWidth="1"/>
    <col min="3" max="3" width="18.26953125" customWidth="1"/>
    <col min="4" max="4" width="7.1796875" customWidth="1"/>
    <col min="6" max="6" width="7.81640625" customWidth="1"/>
    <col min="7" max="7" width="27.26953125" customWidth="1"/>
    <col min="8" max="8" width="13.1796875" customWidth="1"/>
    <col min="9" max="9" width="10.453125" customWidth="1"/>
    <col min="10" max="11" width="14.7265625" customWidth="1"/>
    <col min="12" max="12" width="11.54296875" customWidth="1"/>
    <col min="13" max="13" width="13.453125" customWidth="1"/>
    <col min="14" max="14" width="13.54296875" customWidth="1"/>
    <col min="15" max="15" width="17.453125" customWidth="1"/>
  </cols>
  <sheetData>
    <row r="2" spans="1:15" ht="17.5" x14ac:dyDescent="0.35">
      <c r="C2" s="1" t="s">
        <v>99</v>
      </c>
    </row>
    <row r="3" spans="1:15" ht="15.5" x14ac:dyDescent="0.35">
      <c r="C3" s="2" t="s">
        <v>119</v>
      </c>
    </row>
    <row r="5" spans="1:15" x14ac:dyDescent="0.35">
      <c r="A5" t="s">
        <v>1</v>
      </c>
      <c r="C5" s="3" t="s">
        <v>2</v>
      </c>
    </row>
    <row r="6" spans="1:15" x14ac:dyDescent="0.35">
      <c r="A6" t="s">
        <v>3</v>
      </c>
      <c r="C6" s="3" t="s">
        <v>2</v>
      </c>
    </row>
    <row r="7" spans="1:15" x14ac:dyDescent="0.35">
      <c r="A7" t="s">
        <v>4</v>
      </c>
      <c r="C7" s="3" t="s">
        <v>2</v>
      </c>
    </row>
    <row r="8" spans="1:15" x14ac:dyDescent="0.35">
      <c r="A8" t="s">
        <v>5</v>
      </c>
      <c r="C8" s="3" t="s">
        <v>2</v>
      </c>
      <c r="J8" t="s">
        <v>100</v>
      </c>
      <c r="K8" s="3" t="s">
        <v>2</v>
      </c>
    </row>
    <row r="10" spans="1:15" x14ac:dyDescent="0.35">
      <c r="A10" s="170" t="s">
        <v>6</v>
      </c>
      <c r="B10" s="171" t="s">
        <v>7</v>
      </c>
      <c r="C10" s="174" t="s">
        <v>8</v>
      </c>
      <c r="D10" s="175"/>
      <c r="E10" s="167" t="s">
        <v>9</v>
      </c>
      <c r="F10" s="167" t="s">
        <v>10</v>
      </c>
      <c r="G10" s="167" t="s">
        <v>11</v>
      </c>
      <c r="H10" s="178" t="s">
        <v>12</v>
      </c>
      <c r="I10" s="179"/>
      <c r="J10" s="180"/>
      <c r="K10" s="167" t="s">
        <v>13</v>
      </c>
      <c r="L10" s="167" t="s">
        <v>14</v>
      </c>
      <c r="M10" s="167" t="s">
        <v>15</v>
      </c>
      <c r="N10" s="167" t="s">
        <v>57</v>
      </c>
      <c r="O10" s="181" t="s">
        <v>16</v>
      </c>
    </row>
    <row r="11" spans="1:15" x14ac:dyDescent="0.35">
      <c r="A11" s="170"/>
      <c r="B11" s="172"/>
      <c r="C11" s="176"/>
      <c r="D11" s="177"/>
      <c r="E11" s="168"/>
      <c r="F11" s="168"/>
      <c r="G11" s="168"/>
      <c r="H11" s="182" t="s">
        <v>17</v>
      </c>
      <c r="I11" s="178" t="s">
        <v>18</v>
      </c>
      <c r="J11" s="180"/>
      <c r="K11" s="168"/>
      <c r="L11" s="168"/>
      <c r="M11" s="168"/>
      <c r="N11" s="168"/>
      <c r="O11" s="181"/>
    </row>
    <row r="12" spans="1:15" x14ac:dyDescent="0.35">
      <c r="A12" s="170"/>
      <c r="B12" s="173"/>
      <c r="C12" s="4" t="s">
        <v>19</v>
      </c>
      <c r="D12" s="5" t="s">
        <v>20</v>
      </c>
      <c r="E12" s="169"/>
      <c r="F12" s="169"/>
      <c r="G12" s="169"/>
      <c r="H12" s="183"/>
      <c r="I12" s="5" t="s">
        <v>21</v>
      </c>
      <c r="J12" s="5" t="s">
        <v>8</v>
      </c>
      <c r="K12" s="169"/>
      <c r="L12" s="169"/>
      <c r="M12" s="169"/>
      <c r="N12" s="169"/>
      <c r="O12" s="181"/>
    </row>
    <row r="13" spans="1:15" x14ac:dyDescent="0.35">
      <c r="A13" s="6">
        <v>1</v>
      </c>
      <c r="B13" s="6">
        <v>2</v>
      </c>
      <c r="C13" s="6">
        <v>3</v>
      </c>
      <c r="D13" s="6">
        <v>4</v>
      </c>
      <c r="E13" s="6">
        <v>5</v>
      </c>
      <c r="F13" s="6">
        <v>6</v>
      </c>
      <c r="G13" s="6">
        <v>7</v>
      </c>
      <c r="H13" s="6">
        <v>8</v>
      </c>
      <c r="I13" s="6">
        <v>9</v>
      </c>
      <c r="J13" s="6">
        <v>10</v>
      </c>
      <c r="K13" s="6">
        <v>11</v>
      </c>
      <c r="L13" s="6">
        <v>12</v>
      </c>
      <c r="M13" s="6">
        <v>13</v>
      </c>
      <c r="N13" s="6">
        <v>14</v>
      </c>
      <c r="O13" s="6">
        <v>15</v>
      </c>
    </row>
    <row r="14" spans="1:15" x14ac:dyDescent="0.35">
      <c r="A14" s="7"/>
      <c r="B14" s="8"/>
      <c r="C14" s="8"/>
      <c r="D14" s="9"/>
      <c r="E14" s="10"/>
      <c r="F14" s="11"/>
      <c r="G14" s="12"/>
      <c r="H14" s="12"/>
      <c r="I14" s="13"/>
      <c r="J14" s="12"/>
      <c r="K14" s="12"/>
      <c r="L14" s="12"/>
      <c r="M14" s="73"/>
      <c r="N14" s="12"/>
      <c r="O14" s="8"/>
    </row>
    <row r="15" spans="1:15" ht="7.5" customHeight="1" x14ac:dyDescent="0.35">
      <c r="A15" s="15"/>
      <c r="B15" s="16"/>
      <c r="C15" s="16"/>
      <c r="D15" s="17"/>
      <c r="E15" s="18"/>
      <c r="F15" s="19"/>
      <c r="G15" s="20"/>
      <c r="H15" s="20"/>
      <c r="I15" s="21"/>
      <c r="J15" s="20"/>
      <c r="K15" s="20"/>
      <c r="L15" s="20"/>
      <c r="M15" s="74"/>
      <c r="N15" s="20"/>
      <c r="O15" s="16"/>
    </row>
    <row r="16" spans="1:15" x14ac:dyDescent="0.35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5" t="s">
        <v>22</v>
      </c>
      <c r="L16" s="26"/>
      <c r="M16" s="75">
        <f>SUM(M14:M15)</f>
        <v>0</v>
      </c>
      <c r="N16" s="53"/>
      <c r="O16" s="27"/>
    </row>
    <row r="18" spans="4:13" x14ac:dyDescent="0.35">
      <c r="D18" s="28" t="s">
        <v>23</v>
      </c>
      <c r="E18" s="28"/>
      <c r="M18" s="28" t="s">
        <v>120</v>
      </c>
    </row>
    <row r="19" spans="4:13" x14ac:dyDescent="0.35">
      <c r="D19" s="28" t="s">
        <v>24</v>
      </c>
      <c r="E19" s="28"/>
      <c r="M19" s="28" t="s">
        <v>25</v>
      </c>
    </row>
    <row r="21" spans="4:13" x14ac:dyDescent="0.35">
      <c r="M21" s="28"/>
    </row>
    <row r="22" spans="4:13" x14ac:dyDescent="0.35">
      <c r="M22" s="28"/>
    </row>
    <row r="23" spans="4:13" x14ac:dyDescent="0.35">
      <c r="D23" s="28" t="s">
        <v>26</v>
      </c>
      <c r="E23" s="28"/>
      <c r="M23" s="28" t="s">
        <v>26</v>
      </c>
    </row>
    <row r="24" spans="4:13" x14ac:dyDescent="0.35">
      <c r="D24" s="28" t="s">
        <v>27</v>
      </c>
      <c r="E24" s="28"/>
      <c r="M24" s="28" t="s">
        <v>28</v>
      </c>
    </row>
  </sheetData>
  <mergeCells count="14">
    <mergeCell ref="O10:O12"/>
    <mergeCell ref="H11:H12"/>
    <mergeCell ref="I11:J11"/>
    <mergeCell ref="A10:A12"/>
    <mergeCell ref="B10:B12"/>
    <mergeCell ref="C10:D11"/>
    <mergeCell ref="E10:E12"/>
    <mergeCell ref="F10:F12"/>
    <mergeCell ref="G10:G12"/>
    <mergeCell ref="N10:N12"/>
    <mergeCell ref="H10:J10"/>
    <mergeCell ref="K10:K12"/>
    <mergeCell ref="L10:L12"/>
    <mergeCell ref="M10:M12"/>
  </mergeCells>
  <pageMargins left="0.11811023622047245" right="0.11811023622047245" top="0.74803149606299213" bottom="0.55118110236220474" header="0.31496062992125984" footer="0.31496062992125984"/>
  <pageSetup paperSize="9" scale="69" orientation="landscape" horizontalDpi="0" verticalDpi="0" r:id="rId1"/>
  <headerFooter>
    <oddFooter>&amp;RHal. &amp;P dari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R24"/>
  <sheetViews>
    <sheetView zoomScale="76" zoomScaleNormal="76" workbookViewId="0">
      <selection activeCell="A14" sqref="A14"/>
    </sheetView>
  </sheetViews>
  <sheetFormatPr defaultRowHeight="14.5" x14ac:dyDescent="0.35"/>
  <cols>
    <col min="1" max="1" width="4.7265625" customWidth="1"/>
    <col min="2" max="2" width="25" customWidth="1"/>
    <col min="3" max="3" width="25.453125" customWidth="1"/>
    <col min="4" max="4" width="7.1796875" customWidth="1"/>
    <col min="5" max="5" width="11.1796875" customWidth="1"/>
    <col min="6" max="6" width="7.81640625" customWidth="1"/>
    <col min="7" max="7" width="15.1796875" customWidth="1"/>
    <col min="8" max="8" width="12.26953125" hidden="1" customWidth="1"/>
    <col min="9" max="9" width="7.7265625" customWidth="1"/>
    <col min="10" max="12" width="17.26953125" customWidth="1"/>
    <col min="13" max="13" width="10.54296875" customWidth="1"/>
    <col min="14" max="14" width="17" customWidth="1"/>
    <col min="15" max="15" width="12.54296875" customWidth="1"/>
    <col min="16" max="16" width="17.54296875" customWidth="1"/>
    <col min="17" max="17" width="13.453125" customWidth="1"/>
    <col min="18" max="18" width="18" customWidth="1"/>
  </cols>
  <sheetData>
    <row r="2" spans="1:18" ht="17.5" x14ac:dyDescent="0.35">
      <c r="C2" s="1" t="s">
        <v>101</v>
      </c>
    </row>
    <row r="3" spans="1:18" ht="15.5" x14ac:dyDescent="0.35">
      <c r="C3" s="2" t="s">
        <v>119</v>
      </c>
    </row>
    <row r="5" spans="1:18" x14ac:dyDescent="0.35">
      <c r="A5" t="s">
        <v>1</v>
      </c>
    </row>
    <row r="6" spans="1:18" x14ac:dyDescent="0.35">
      <c r="A6" t="s">
        <v>3</v>
      </c>
    </row>
    <row r="7" spans="1:18" x14ac:dyDescent="0.35">
      <c r="A7" t="s">
        <v>4</v>
      </c>
    </row>
    <row r="8" spans="1:18" x14ac:dyDescent="0.35">
      <c r="A8" t="s">
        <v>5</v>
      </c>
      <c r="L8" t="s">
        <v>100</v>
      </c>
      <c r="M8" s="3" t="s">
        <v>2</v>
      </c>
    </row>
    <row r="9" spans="1:18" ht="8.25" customHeight="1" x14ac:dyDescent="0.35"/>
    <row r="10" spans="1:18" x14ac:dyDescent="0.35">
      <c r="A10" s="170" t="s">
        <v>6</v>
      </c>
      <c r="B10" s="171" t="s">
        <v>19</v>
      </c>
      <c r="C10" s="182" t="s">
        <v>7</v>
      </c>
      <c r="D10" s="167" t="s">
        <v>20</v>
      </c>
      <c r="E10" s="167" t="s">
        <v>30</v>
      </c>
      <c r="F10" s="167" t="s">
        <v>31</v>
      </c>
      <c r="G10" s="167" t="s">
        <v>32</v>
      </c>
      <c r="H10" s="167" t="s">
        <v>33</v>
      </c>
      <c r="I10" s="167" t="s">
        <v>34</v>
      </c>
      <c r="J10" s="182" t="s">
        <v>8</v>
      </c>
      <c r="K10" s="185"/>
      <c r="L10" s="185"/>
      <c r="M10" s="185"/>
      <c r="N10" s="186"/>
      <c r="O10" s="167" t="s">
        <v>14</v>
      </c>
      <c r="P10" s="167" t="s">
        <v>15</v>
      </c>
      <c r="Q10" s="167" t="s">
        <v>57</v>
      </c>
      <c r="R10" s="181" t="s">
        <v>16</v>
      </c>
    </row>
    <row r="11" spans="1:18" x14ac:dyDescent="0.35">
      <c r="A11" s="170"/>
      <c r="B11" s="172"/>
      <c r="C11" s="184"/>
      <c r="D11" s="168"/>
      <c r="E11" s="168"/>
      <c r="F11" s="168"/>
      <c r="G11" s="168"/>
      <c r="H11" s="168"/>
      <c r="I11" s="168"/>
      <c r="J11" s="184"/>
      <c r="K11" s="187"/>
      <c r="L11" s="187"/>
      <c r="M11" s="187"/>
      <c r="N11" s="188"/>
      <c r="O11" s="168"/>
      <c r="P11" s="168"/>
      <c r="Q11" s="168"/>
      <c r="R11" s="181"/>
    </row>
    <row r="12" spans="1:18" x14ac:dyDescent="0.35">
      <c r="A12" s="170"/>
      <c r="B12" s="173"/>
      <c r="C12" s="183"/>
      <c r="D12" s="169"/>
      <c r="E12" s="169"/>
      <c r="F12" s="169"/>
      <c r="G12" s="169"/>
      <c r="H12" s="169"/>
      <c r="I12" s="169"/>
      <c r="J12" s="29" t="s">
        <v>35</v>
      </c>
      <c r="K12" s="29" t="s">
        <v>36</v>
      </c>
      <c r="L12" s="29" t="s">
        <v>37</v>
      </c>
      <c r="M12" s="29" t="s">
        <v>38</v>
      </c>
      <c r="N12" s="29" t="s">
        <v>39</v>
      </c>
      <c r="O12" s="169"/>
      <c r="P12" s="169"/>
      <c r="Q12" s="169"/>
      <c r="R12" s="181"/>
    </row>
    <row r="13" spans="1:18" x14ac:dyDescent="0.35">
      <c r="A13" s="6">
        <v>1</v>
      </c>
      <c r="B13" s="6">
        <v>2</v>
      </c>
      <c r="C13" s="6">
        <v>3</v>
      </c>
      <c r="D13" s="6">
        <v>4</v>
      </c>
      <c r="E13" s="6">
        <v>5</v>
      </c>
      <c r="F13" s="6">
        <v>6</v>
      </c>
      <c r="G13" s="6">
        <v>7</v>
      </c>
      <c r="H13" s="6">
        <v>8</v>
      </c>
      <c r="I13" s="6">
        <v>8</v>
      </c>
      <c r="J13" s="6">
        <v>9</v>
      </c>
      <c r="K13" s="6">
        <v>10</v>
      </c>
      <c r="L13" s="6">
        <v>11</v>
      </c>
      <c r="M13" s="6">
        <v>12</v>
      </c>
      <c r="N13" s="6">
        <v>13</v>
      </c>
      <c r="O13" s="6">
        <v>14</v>
      </c>
      <c r="P13" s="6">
        <v>15</v>
      </c>
      <c r="Q13" s="6">
        <v>16</v>
      </c>
      <c r="R13" s="6">
        <v>17</v>
      </c>
    </row>
    <row r="14" spans="1:18" x14ac:dyDescent="0.35">
      <c r="A14" s="7"/>
      <c r="B14" s="8"/>
      <c r="C14" s="8"/>
      <c r="D14" s="30"/>
      <c r="E14" s="12"/>
      <c r="F14" s="10"/>
      <c r="G14" s="12"/>
      <c r="H14" s="12"/>
      <c r="I14" s="10"/>
      <c r="J14" s="12"/>
      <c r="K14" s="12"/>
      <c r="L14" s="12"/>
      <c r="M14" s="12"/>
      <c r="N14" s="12"/>
      <c r="O14" s="12"/>
      <c r="P14" s="76"/>
      <c r="Q14" s="36"/>
      <c r="R14" s="8"/>
    </row>
    <row r="15" spans="1:18" ht="6.75" customHeight="1" x14ac:dyDescent="0.35">
      <c r="A15" s="15"/>
      <c r="B15" s="16"/>
      <c r="C15" s="16"/>
      <c r="D15" s="17"/>
      <c r="E15" s="32"/>
      <c r="F15" s="18"/>
      <c r="G15" s="20"/>
      <c r="H15" s="20"/>
      <c r="I15" s="18"/>
      <c r="J15" s="20"/>
      <c r="K15" s="20"/>
      <c r="L15" s="20"/>
      <c r="M15" s="20"/>
      <c r="N15" s="20"/>
      <c r="O15" s="20"/>
      <c r="P15" s="77"/>
      <c r="Q15" s="32"/>
      <c r="R15" s="16"/>
    </row>
    <row r="16" spans="1:18" x14ac:dyDescent="0.35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34" t="s">
        <v>22</v>
      </c>
      <c r="O16" s="35"/>
      <c r="P16" s="75"/>
      <c r="Q16" s="53"/>
      <c r="R16" s="27"/>
    </row>
    <row r="18" spans="4:15" x14ac:dyDescent="0.35">
      <c r="D18" s="28" t="s">
        <v>23</v>
      </c>
      <c r="E18" s="28"/>
      <c r="O18" s="28" t="s">
        <v>120</v>
      </c>
    </row>
    <row r="19" spans="4:15" x14ac:dyDescent="0.35">
      <c r="D19" s="28" t="s">
        <v>24</v>
      </c>
      <c r="E19" s="28"/>
      <c r="O19" s="28" t="s">
        <v>25</v>
      </c>
    </row>
    <row r="21" spans="4:15" x14ac:dyDescent="0.35">
      <c r="O21" s="28"/>
    </row>
    <row r="22" spans="4:15" x14ac:dyDescent="0.35">
      <c r="O22" s="28"/>
    </row>
    <row r="23" spans="4:15" x14ac:dyDescent="0.35">
      <c r="D23" s="28" t="s">
        <v>26</v>
      </c>
      <c r="E23" s="28"/>
      <c r="O23" s="28" t="s">
        <v>40</v>
      </c>
    </row>
    <row r="24" spans="4:15" x14ac:dyDescent="0.35">
      <c r="D24" s="28" t="s">
        <v>27</v>
      </c>
      <c r="E24" s="28"/>
      <c r="O24" s="28" t="s">
        <v>28</v>
      </c>
    </row>
  </sheetData>
  <mergeCells count="14">
    <mergeCell ref="F10:F12"/>
    <mergeCell ref="A10:A12"/>
    <mergeCell ref="B10:B12"/>
    <mergeCell ref="C10:C12"/>
    <mergeCell ref="D10:D12"/>
    <mergeCell ref="E10:E12"/>
    <mergeCell ref="R10:R12"/>
    <mergeCell ref="Q10:Q12"/>
    <mergeCell ref="G10:G12"/>
    <mergeCell ref="H10:H12"/>
    <mergeCell ref="I10:I12"/>
    <mergeCell ref="J10:N11"/>
    <mergeCell ref="O10:O12"/>
    <mergeCell ref="P10:P12"/>
  </mergeCells>
  <printOptions horizontalCentered="1"/>
  <pageMargins left="0.11811023622047245" right="0.11811023622047245" top="0.55118110236220474" bottom="0.55118110236220474" header="0.31496062992125984" footer="0.31496062992125984"/>
  <pageSetup paperSize="9" scale="62" orientation="landscape" horizontalDpi="180" verticalDpi="180" r:id="rId1"/>
  <headerFooter>
    <oddFooter>&amp;RHal &amp;P dari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R24"/>
  <sheetViews>
    <sheetView zoomScale="77" zoomScaleNormal="77" workbookViewId="0">
      <selection activeCell="A14" sqref="A14"/>
    </sheetView>
  </sheetViews>
  <sheetFormatPr defaultRowHeight="14.5" x14ac:dyDescent="0.35"/>
  <cols>
    <col min="1" max="1" width="4.7265625" customWidth="1"/>
    <col min="2" max="2" width="24.7265625" customWidth="1"/>
    <col min="3" max="3" width="19.26953125" customWidth="1"/>
    <col min="4" max="4" width="7" customWidth="1"/>
    <col min="5" max="5" width="11.26953125" customWidth="1"/>
    <col min="6" max="6" width="10.26953125" customWidth="1"/>
    <col min="7" max="7" width="9" customWidth="1"/>
    <col min="8" max="8" width="8" customWidth="1"/>
    <col min="9" max="9" width="15.453125" customWidth="1"/>
    <col min="10" max="10" width="10.1796875" customWidth="1"/>
    <col min="11" max="11" width="15.453125" customWidth="1"/>
    <col min="12" max="12" width="9.453125" customWidth="1"/>
    <col min="13" max="13" width="12" customWidth="1"/>
    <col min="14" max="14" width="21.26953125" customWidth="1"/>
    <col min="15" max="15" width="12.26953125" customWidth="1"/>
    <col min="16" max="16" width="17.54296875" customWidth="1"/>
    <col min="17" max="17" width="13.26953125" customWidth="1"/>
    <col min="18" max="18" width="18" customWidth="1"/>
  </cols>
  <sheetData>
    <row r="2" spans="1:18" ht="17.5" x14ac:dyDescent="0.35">
      <c r="C2" s="1" t="s">
        <v>102</v>
      </c>
    </row>
    <row r="3" spans="1:18" ht="15.5" x14ac:dyDescent="0.35">
      <c r="C3" s="2" t="s">
        <v>119</v>
      </c>
    </row>
    <row r="5" spans="1:18" x14ac:dyDescent="0.35">
      <c r="A5" t="s">
        <v>1</v>
      </c>
    </row>
    <row r="6" spans="1:18" x14ac:dyDescent="0.35">
      <c r="A6" t="s">
        <v>3</v>
      </c>
    </row>
    <row r="7" spans="1:18" x14ac:dyDescent="0.35">
      <c r="A7" t="s">
        <v>4</v>
      </c>
    </row>
    <row r="8" spans="1:18" x14ac:dyDescent="0.35">
      <c r="A8" t="s">
        <v>5</v>
      </c>
      <c r="L8" t="s">
        <v>100</v>
      </c>
      <c r="M8" s="3" t="s">
        <v>2</v>
      </c>
    </row>
    <row r="9" spans="1:18" ht="6.75" customHeight="1" x14ac:dyDescent="0.35"/>
    <row r="10" spans="1:18" x14ac:dyDescent="0.35">
      <c r="A10" s="170" t="s">
        <v>6</v>
      </c>
      <c r="B10" s="167" t="s">
        <v>7</v>
      </c>
      <c r="C10" s="174" t="s">
        <v>8</v>
      </c>
      <c r="D10" s="175"/>
      <c r="E10" s="167" t="s">
        <v>42</v>
      </c>
      <c r="F10" s="182" t="s">
        <v>43</v>
      </c>
      <c r="G10" s="186"/>
      <c r="H10" s="167" t="s">
        <v>44</v>
      </c>
      <c r="I10" s="182" t="s">
        <v>45</v>
      </c>
      <c r="J10" s="181" t="s">
        <v>46</v>
      </c>
      <c r="K10" s="181"/>
      <c r="L10" s="182" t="s">
        <v>47</v>
      </c>
      <c r="M10" s="181" t="s">
        <v>12</v>
      </c>
      <c r="N10" s="167" t="s">
        <v>48</v>
      </c>
      <c r="O10" s="167" t="s">
        <v>14</v>
      </c>
      <c r="P10" s="167" t="s">
        <v>15</v>
      </c>
      <c r="Q10" s="167" t="s">
        <v>57</v>
      </c>
      <c r="R10" s="181" t="s">
        <v>16</v>
      </c>
    </row>
    <row r="11" spans="1:18" x14ac:dyDescent="0.35">
      <c r="A11" s="170"/>
      <c r="B11" s="168"/>
      <c r="C11" s="176"/>
      <c r="D11" s="177"/>
      <c r="E11" s="168"/>
      <c r="F11" s="183"/>
      <c r="G11" s="189"/>
      <c r="H11" s="168"/>
      <c r="I11" s="184"/>
      <c r="J11" s="181"/>
      <c r="K11" s="181"/>
      <c r="L11" s="184"/>
      <c r="M11" s="181"/>
      <c r="N11" s="168"/>
      <c r="O11" s="168"/>
      <c r="P11" s="168"/>
      <c r="Q11" s="168"/>
      <c r="R11" s="181"/>
    </row>
    <row r="12" spans="1:18" ht="29" x14ac:dyDescent="0.35">
      <c r="A12" s="170"/>
      <c r="B12" s="169"/>
      <c r="C12" s="4" t="s">
        <v>19</v>
      </c>
      <c r="D12" s="5" t="s">
        <v>49</v>
      </c>
      <c r="E12" s="169"/>
      <c r="F12" s="5" t="s">
        <v>50</v>
      </c>
      <c r="G12" s="5" t="s">
        <v>51</v>
      </c>
      <c r="H12" s="169"/>
      <c r="I12" s="183"/>
      <c r="J12" s="29" t="s">
        <v>21</v>
      </c>
      <c r="K12" s="29" t="s">
        <v>8</v>
      </c>
      <c r="L12" s="183"/>
      <c r="M12" s="181"/>
      <c r="N12" s="169"/>
      <c r="O12" s="169"/>
      <c r="P12" s="169"/>
      <c r="Q12" s="169"/>
      <c r="R12" s="181"/>
    </row>
    <row r="13" spans="1:18" x14ac:dyDescent="0.35">
      <c r="A13" s="6">
        <v>1</v>
      </c>
      <c r="B13" s="6">
        <v>2</v>
      </c>
      <c r="C13" s="6">
        <v>3</v>
      </c>
      <c r="D13" s="6">
        <v>4</v>
      </c>
      <c r="E13" s="6">
        <v>5</v>
      </c>
      <c r="F13" s="6">
        <v>6</v>
      </c>
      <c r="G13" s="6">
        <v>7</v>
      </c>
      <c r="H13" s="6">
        <v>8</v>
      </c>
      <c r="I13" s="6">
        <v>9</v>
      </c>
      <c r="J13" s="6">
        <v>10</v>
      </c>
      <c r="K13" s="6">
        <v>11</v>
      </c>
      <c r="L13" s="6">
        <v>12</v>
      </c>
      <c r="M13" s="6">
        <v>13</v>
      </c>
      <c r="N13" s="6">
        <v>14</v>
      </c>
      <c r="O13" s="6">
        <v>15</v>
      </c>
      <c r="P13" s="6">
        <v>16</v>
      </c>
      <c r="Q13" s="6">
        <v>17</v>
      </c>
      <c r="R13" s="6">
        <v>18</v>
      </c>
    </row>
    <row r="14" spans="1:18" x14ac:dyDescent="0.35">
      <c r="A14" s="7"/>
      <c r="B14" s="8"/>
      <c r="C14" s="8"/>
      <c r="D14" s="9"/>
      <c r="E14" s="36"/>
      <c r="F14" s="12"/>
      <c r="G14" s="12"/>
      <c r="H14" s="14"/>
      <c r="I14" s="12"/>
      <c r="J14" s="13"/>
      <c r="K14" s="12"/>
      <c r="L14" s="14"/>
      <c r="M14" s="12"/>
      <c r="N14" s="12"/>
      <c r="O14" s="12"/>
      <c r="P14" s="76"/>
      <c r="Q14" s="36"/>
      <c r="R14" s="8"/>
    </row>
    <row r="15" spans="1:18" ht="6" customHeight="1" x14ac:dyDescent="0.35">
      <c r="A15" s="15"/>
      <c r="B15" s="16"/>
      <c r="C15" s="16"/>
      <c r="D15" s="17"/>
      <c r="E15" s="32"/>
      <c r="F15" s="20"/>
      <c r="G15" s="20"/>
      <c r="H15" s="22"/>
      <c r="I15" s="20"/>
      <c r="J15" s="21"/>
      <c r="K15" s="20"/>
      <c r="L15" s="22"/>
      <c r="M15" s="20"/>
      <c r="N15" s="20"/>
      <c r="O15" s="20"/>
      <c r="P15" s="77"/>
      <c r="Q15" s="32"/>
      <c r="R15" s="16"/>
    </row>
    <row r="16" spans="1:18" x14ac:dyDescent="0.35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34" t="s">
        <v>22</v>
      </c>
      <c r="O16" s="35"/>
      <c r="P16" s="75">
        <f>SUM(P14:P15)</f>
        <v>0</v>
      </c>
      <c r="Q16" s="53"/>
      <c r="R16" s="27"/>
    </row>
    <row r="18" spans="4:15" x14ac:dyDescent="0.35">
      <c r="D18" s="28" t="s">
        <v>23</v>
      </c>
      <c r="E18" s="28"/>
      <c r="O18" s="28" t="s">
        <v>120</v>
      </c>
    </row>
    <row r="19" spans="4:15" x14ac:dyDescent="0.35">
      <c r="D19" s="28" t="s">
        <v>24</v>
      </c>
      <c r="E19" s="28"/>
      <c r="O19" s="28" t="s">
        <v>25</v>
      </c>
    </row>
    <row r="21" spans="4:15" x14ac:dyDescent="0.35">
      <c r="O21" s="28"/>
    </row>
    <row r="22" spans="4:15" x14ac:dyDescent="0.35">
      <c r="O22" s="28"/>
    </row>
    <row r="23" spans="4:15" x14ac:dyDescent="0.35">
      <c r="D23" s="28" t="s">
        <v>26</v>
      </c>
      <c r="E23" s="28"/>
      <c r="O23" s="28" t="s">
        <v>40</v>
      </c>
    </row>
    <row r="24" spans="4:15" x14ac:dyDescent="0.35">
      <c r="D24" s="28" t="s">
        <v>27</v>
      </c>
      <c r="E24" s="28"/>
      <c r="O24" s="28" t="s">
        <v>28</v>
      </c>
    </row>
  </sheetData>
  <mergeCells count="15">
    <mergeCell ref="P10:P12"/>
    <mergeCell ref="R10:R12"/>
    <mergeCell ref="Q10:Q12"/>
    <mergeCell ref="I10:I12"/>
    <mergeCell ref="J10:K11"/>
    <mergeCell ref="L10:L12"/>
    <mergeCell ref="M10:M12"/>
    <mergeCell ref="N10:N12"/>
    <mergeCell ref="O10:O12"/>
    <mergeCell ref="H10:H12"/>
    <mergeCell ref="A10:A12"/>
    <mergeCell ref="B10:B12"/>
    <mergeCell ref="C10:D11"/>
    <mergeCell ref="E10:E12"/>
    <mergeCell ref="F10:G11"/>
  </mergeCells>
  <printOptions horizontalCentered="1"/>
  <pageMargins left="0.19685039370078741" right="0.19685039370078741" top="0.55118110236220474" bottom="0.55118110236220474" header="0.31496062992125984" footer="0.31496062992125984"/>
  <pageSetup paperSize="9" scale="60" orientation="landscape" horizontalDpi="0" verticalDpi="0" r:id="rId1"/>
  <headerFooter>
    <oddFooter>&amp;RHal &amp;P dari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Q24"/>
  <sheetViews>
    <sheetView zoomScale="80" zoomScaleNormal="80" workbookViewId="0">
      <selection activeCell="A14" sqref="A14"/>
    </sheetView>
  </sheetViews>
  <sheetFormatPr defaultRowHeight="14.5" x14ac:dyDescent="0.35"/>
  <cols>
    <col min="1" max="1" width="4.26953125" customWidth="1"/>
    <col min="2" max="2" width="25.81640625" customWidth="1"/>
    <col min="3" max="3" width="20" customWidth="1"/>
    <col min="4" max="4" width="9.1796875" customWidth="1"/>
    <col min="5" max="5" width="11.26953125" customWidth="1"/>
    <col min="6" max="7" width="8.453125" customWidth="1"/>
    <col min="8" max="8" width="10" customWidth="1"/>
    <col min="9" max="9" width="21" customWidth="1"/>
    <col min="10" max="10" width="10" customWidth="1"/>
    <col min="11" max="11" width="16.7265625" customWidth="1"/>
    <col min="12" max="12" width="9.7265625" customWidth="1"/>
    <col min="13" max="13" width="21.54296875" customWidth="1"/>
    <col min="14" max="14" width="11.7265625" customWidth="1"/>
    <col min="15" max="15" width="17.1796875" customWidth="1"/>
    <col min="16" max="16" width="10.54296875" customWidth="1"/>
    <col min="17" max="17" width="15.453125" customWidth="1"/>
  </cols>
  <sheetData>
    <row r="2" spans="1:17" ht="17.5" x14ac:dyDescent="0.35">
      <c r="C2" s="1" t="s">
        <v>103</v>
      </c>
    </row>
    <row r="3" spans="1:17" ht="15.5" x14ac:dyDescent="0.35">
      <c r="C3" s="2" t="s">
        <v>119</v>
      </c>
    </row>
    <row r="5" spans="1:17" x14ac:dyDescent="0.35">
      <c r="A5" t="s">
        <v>1</v>
      </c>
    </row>
    <row r="6" spans="1:17" x14ac:dyDescent="0.35">
      <c r="A6" t="s">
        <v>3</v>
      </c>
    </row>
    <row r="7" spans="1:17" x14ac:dyDescent="0.35">
      <c r="A7" t="s">
        <v>4</v>
      </c>
    </row>
    <row r="8" spans="1:17" x14ac:dyDescent="0.35">
      <c r="A8" t="s">
        <v>5</v>
      </c>
      <c r="K8" t="s">
        <v>100</v>
      </c>
      <c r="L8" s="3" t="s">
        <v>2</v>
      </c>
    </row>
    <row r="10" spans="1:17" x14ac:dyDescent="0.35">
      <c r="A10" s="170" t="s">
        <v>6</v>
      </c>
      <c r="B10" s="167" t="s">
        <v>7</v>
      </c>
      <c r="C10" s="174" t="s">
        <v>8</v>
      </c>
      <c r="D10" s="175"/>
      <c r="E10" s="167" t="s">
        <v>53</v>
      </c>
      <c r="F10" s="167" t="s">
        <v>54</v>
      </c>
      <c r="G10" s="167" t="s">
        <v>55</v>
      </c>
      <c r="H10" s="167" t="s">
        <v>47</v>
      </c>
      <c r="I10" s="182" t="s">
        <v>45</v>
      </c>
      <c r="J10" s="181" t="s">
        <v>46</v>
      </c>
      <c r="K10" s="181"/>
      <c r="L10" s="182" t="s">
        <v>12</v>
      </c>
      <c r="M10" s="181" t="s">
        <v>48</v>
      </c>
      <c r="N10" s="167" t="s">
        <v>56</v>
      </c>
      <c r="O10" s="167" t="s">
        <v>15</v>
      </c>
      <c r="P10" s="167" t="s">
        <v>57</v>
      </c>
      <c r="Q10" s="181" t="s">
        <v>16</v>
      </c>
    </row>
    <row r="11" spans="1:17" x14ac:dyDescent="0.35">
      <c r="A11" s="170"/>
      <c r="B11" s="168"/>
      <c r="C11" s="176"/>
      <c r="D11" s="177"/>
      <c r="E11" s="168"/>
      <c r="F11" s="168"/>
      <c r="G11" s="168"/>
      <c r="H11" s="168"/>
      <c r="I11" s="184"/>
      <c r="J11" s="181"/>
      <c r="K11" s="181"/>
      <c r="L11" s="184"/>
      <c r="M11" s="181"/>
      <c r="N11" s="168"/>
      <c r="O11" s="168"/>
      <c r="P11" s="168"/>
      <c r="Q11" s="181"/>
    </row>
    <row r="12" spans="1:17" x14ac:dyDescent="0.35">
      <c r="A12" s="170"/>
      <c r="B12" s="169"/>
      <c r="C12" s="4" t="s">
        <v>19</v>
      </c>
      <c r="D12" s="5" t="s">
        <v>49</v>
      </c>
      <c r="E12" s="169"/>
      <c r="F12" s="169"/>
      <c r="G12" s="169"/>
      <c r="H12" s="169"/>
      <c r="I12" s="183"/>
      <c r="J12" s="29" t="s">
        <v>21</v>
      </c>
      <c r="K12" s="29" t="s">
        <v>8</v>
      </c>
      <c r="L12" s="183"/>
      <c r="M12" s="181"/>
      <c r="N12" s="169"/>
      <c r="O12" s="169"/>
      <c r="P12" s="169"/>
      <c r="Q12" s="181"/>
    </row>
    <row r="13" spans="1:17" x14ac:dyDescent="0.35">
      <c r="A13" s="6">
        <v>1</v>
      </c>
      <c r="B13" s="6">
        <v>2</v>
      </c>
      <c r="C13" s="6">
        <v>3</v>
      </c>
      <c r="D13" s="6">
        <v>4</v>
      </c>
      <c r="E13" s="6">
        <v>5</v>
      </c>
      <c r="F13" s="6">
        <v>6</v>
      </c>
      <c r="G13" s="6">
        <v>7</v>
      </c>
      <c r="H13" s="6">
        <v>8</v>
      </c>
      <c r="I13" s="6">
        <v>9</v>
      </c>
      <c r="J13" s="6">
        <v>10</v>
      </c>
      <c r="K13" s="6">
        <v>11</v>
      </c>
      <c r="L13" s="6">
        <v>12</v>
      </c>
      <c r="M13" s="6">
        <v>13</v>
      </c>
      <c r="N13" s="6">
        <v>14</v>
      </c>
      <c r="O13" s="6">
        <v>15</v>
      </c>
      <c r="P13" s="6">
        <v>16</v>
      </c>
      <c r="Q13" s="6">
        <v>17</v>
      </c>
    </row>
    <row r="14" spans="1:17" x14ac:dyDescent="0.35">
      <c r="A14" s="7"/>
      <c r="B14" s="8"/>
      <c r="C14" s="8"/>
      <c r="D14" s="9"/>
      <c r="E14" s="36"/>
      <c r="F14" s="14"/>
      <c r="G14" s="14"/>
      <c r="H14" s="14"/>
      <c r="I14" s="12"/>
      <c r="J14" s="13"/>
      <c r="K14" s="12"/>
      <c r="L14" s="37"/>
      <c r="M14" s="12"/>
      <c r="N14" s="12"/>
      <c r="O14" s="73"/>
      <c r="P14" s="12"/>
      <c r="Q14" s="8"/>
    </row>
    <row r="15" spans="1:17" ht="5.25" customHeight="1" x14ac:dyDescent="0.35">
      <c r="A15" s="15"/>
      <c r="B15" s="16"/>
      <c r="C15" s="16"/>
      <c r="D15" s="17"/>
      <c r="E15" s="32"/>
      <c r="F15" s="22"/>
      <c r="G15" s="22"/>
      <c r="H15" s="22"/>
      <c r="I15" s="20"/>
      <c r="J15" s="21"/>
      <c r="K15" s="20"/>
      <c r="L15" s="38"/>
      <c r="M15" s="20"/>
      <c r="N15" s="20"/>
      <c r="O15" s="74"/>
      <c r="P15" s="20"/>
      <c r="Q15" s="16"/>
    </row>
    <row r="16" spans="1:17" x14ac:dyDescent="0.35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4" t="s">
        <v>22</v>
      </c>
      <c r="N16" s="26"/>
      <c r="O16" s="78">
        <f>SUM(O14:O15)</f>
        <v>0</v>
      </c>
      <c r="P16" s="54"/>
      <c r="Q16" s="27"/>
    </row>
    <row r="18" spans="4:16" x14ac:dyDescent="0.35">
      <c r="D18" s="28" t="s">
        <v>23</v>
      </c>
      <c r="E18" s="28"/>
      <c r="O18" t="s">
        <v>120</v>
      </c>
    </row>
    <row r="19" spans="4:16" x14ac:dyDescent="0.35">
      <c r="D19" s="28" t="s">
        <v>24</v>
      </c>
      <c r="E19" s="28"/>
      <c r="P19" s="28" t="s">
        <v>25</v>
      </c>
    </row>
    <row r="21" spans="4:16" x14ac:dyDescent="0.35">
      <c r="P21" s="28"/>
    </row>
    <row r="22" spans="4:16" x14ac:dyDescent="0.35">
      <c r="P22" s="28"/>
    </row>
    <row r="23" spans="4:16" x14ac:dyDescent="0.35">
      <c r="D23" s="28" t="s">
        <v>26</v>
      </c>
      <c r="E23" s="28"/>
      <c r="P23" s="28" t="s">
        <v>40</v>
      </c>
    </row>
    <row r="24" spans="4:16" x14ac:dyDescent="0.35">
      <c r="D24" s="28" t="s">
        <v>27</v>
      </c>
      <c r="E24" s="28"/>
      <c r="P24" s="28" t="s">
        <v>28</v>
      </c>
    </row>
  </sheetData>
  <mergeCells count="15">
    <mergeCell ref="O10:O12"/>
    <mergeCell ref="P10:P12"/>
    <mergeCell ref="Q10:Q12"/>
    <mergeCell ref="H10:H12"/>
    <mergeCell ref="I10:I12"/>
    <mergeCell ref="J10:K11"/>
    <mergeCell ref="L10:L12"/>
    <mergeCell ref="M10:M12"/>
    <mergeCell ref="N10:N12"/>
    <mergeCell ref="G10:G12"/>
    <mergeCell ref="A10:A12"/>
    <mergeCell ref="B10:B12"/>
    <mergeCell ref="C10:D11"/>
    <mergeCell ref="E10:E12"/>
    <mergeCell ref="F10:F12"/>
  </mergeCells>
  <printOptions horizontalCentered="1"/>
  <pageMargins left="0.19685039370078741" right="0.19685039370078741" top="0.55118110236220474" bottom="0.55118110236220474" header="0.31496062992125984" footer="0.31496062992125984"/>
  <pageSetup paperSize="9" scale="63" orientation="landscape" horizontalDpi="0" verticalDpi="0" r:id="rId1"/>
  <headerFooter>
    <oddFooter>&amp;RHal &amp;P dari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Q24"/>
  <sheetViews>
    <sheetView zoomScale="80" zoomScaleNormal="80" workbookViewId="0">
      <selection activeCell="A14" sqref="A14"/>
    </sheetView>
  </sheetViews>
  <sheetFormatPr defaultRowHeight="14.5" x14ac:dyDescent="0.35"/>
  <cols>
    <col min="1" max="1" width="4.81640625" customWidth="1"/>
    <col min="2" max="2" width="24.54296875" customWidth="1"/>
    <col min="3" max="3" width="19.26953125" customWidth="1"/>
    <col min="4" max="4" width="7.81640625" customWidth="1"/>
    <col min="5" max="6" width="14.453125" customWidth="1"/>
    <col min="7" max="9" width="12.7265625" customWidth="1"/>
    <col min="10" max="10" width="15" customWidth="1"/>
    <col min="11" max="11" width="16.7265625" customWidth="1"/>
    <col min="14" max="14" width="12.453125" customWidth="1"/>
    <col min="15" max="15" width="17.1796875" customWidth="1"/>
    <col min="16" max="16" width="13.54296875" customWidth="1"/>
    <col min="17" max="17" width="15.453125" customWidth="1"/>
  </cols>
  <sheetData>
    <row r="2" spans="1:17" ht="17.5" x14ac:dyDescent="0.35">
      <c r="C2" s="1" t="s">
        <v>104</v>
      </c>
    </row>
    <row r="3" spans="1:17" ht="15.5" x14ac:dyDescent="0.35">
      <c r="C3" s="2" t="s">
        <v>119</v>
      </c>
    </row>
    <row r="5" spans="1:17" x14ac:dyDescent="0.35">
      <c r="A5" t="s">
        <v>1</v>
      </c>
    </row>
    <row r="6" spans="1:17" x14ac:dyDescent="0.35">
      <c r="A6" t="s">
        <v>3</v>
      </c>
    </row>
    <row r="7" spans="1:17" x14ac:dyDescent="0.35">
      <c r="A7" t="s">
        <v>4</v>
      </c>
    </row>
    <row r="8" spans="1:17" x14ac:dyDescent="0.35">
      <c r="A8" t="s">
        <v>5</v>
      </c>
      <c r="K8" t="s">
        <v>100</v>
      </c>
      <c r="L8" s="3" t="s">
        <v>2</v>
      </c>
    </row>
    <row r="10" spans="1:17" x14ac:dyDescent="0.35">
      <c r="A10" s="170" t="s">
        <v>6</v>
      </c>
      <c r="B10" s="167" t="s">
        <v>7</v>
      </c>
      <c r="C10" s="174" t="s">
        <v>8</v>
      </c>
      <c r="D10" s="175"/>
      <c r="E10" s="182" t="s">
        <v>59</v>
      </c>
      <c r="F10" s="186"/>
      <c r="G10" s="182" t="s">
        <v>60</v>
      </c>
      <c r="H10" s="185"/>
      <c r="I10" s="186"/>
      <c r="J10" s="181" t="s">
        <v>61</v>
      </c>
      <c r="K10" s="181"/>
      <c r="L10" s="182" t="s">
        <v>22</v>
      </c>
      <c r="M10" s="181" t="s">
        <v>62</v>
      </c>
      <c r="N10" s="167" t="s">
        <v>56</v>
      </c>
      <c r="O10" s="167" t="s">
        <v>15</v>
      </c>
      <c r="P10" s="167" t="s">
        <v>57</v>
      </c>
      <c r="Q10" s="181" t="s">
        <v>16</v>
      </c>
    </row>
    <row r="11" spans="1:17" x14ac:dyDescent="0.35">
      <c r="A11" s="170"/>
      <c r="B11" s="168"/>
      <c r="C11" s="176"/>
      <c r="D11" s="177"/>
      <c r="E11" s="183"/>
      <c r="F11" s="189"/>
      <c r="G11" s="183"/>
      <c r="H11" s="190"/>
      <c r="I11" s="189"/>
      <c r="J11" s="181"/>
      <c r="K11" s="181"/>
      <c r="L11" s="184"/>
      <c r="M11" s="181"/>
      <c r="N11" s="168"/>
      <c r="O11" s="168"/>
      <c r="P11" s="168"/>
      <c r="Q11" s="181"/>
    </row>
    <row r="12" spans="1:17" x14ac:dyDescent="0.35">
      <c r="A12" s="170"/>
      <c r="B12" s="169"/>
      <c r="C12" s="4" t="s">
        <v>19</v>
      </c>
      <c r="D12" s="5" t="s">
        <v>49</v>
      </c>
      <c r="E12" s="5" t="s">
        <v>63</v>
      </c>
      <c r="F12" s="5" t="s">
        <v>64</v>
      </c>
      <c r="G12" s="5" t="s">
        <v>65</v>
      </c>
      <c r="H12" s="5" t="s">
        <v>66</v>
      </c>
      <c r="I12" s="5" t="s">
        <v>32</v>
      </c>
      <c r="J12" s="29" t="s">
        <v>67</v>
      </c>
      <c r="K12" s="29" t="s">
        <v>68</v>
      </c>
      <c r="L12" s="183"/>
      <c r="M12" s="181"/>
      <c r="N12" s="169"/>
      <c r="O12" s="169"/>
      <c r="P12" s="169"/>
      <c r="Q12" s="181"/>
    </row>
    <row r="13" spans="1:17" x14ac:dyDescent="0.35">
      <c r="A13" s="6">
        <v>1</v>
      </c>
      <c r="B13" s="6">
        <v>2</v>
      </c>
      <c r="C13" s="6">
        <v>3</v>
      </c>
      <c r="D13" s="6">
        <v>4</v>
      </c>
      <c r="E13" s="6">
        <v>5</v>
      </c>
      <c r="F13" s="6">
        <v>6</v>
      </c>
      <c r="G13" s="6">
        <v>7</v>
      </c>
      <c r="H13" s="6">
        <v>8</v>
      </c>
      <c r="I13" s="6">
        <v>9</v>
      </c>
      <c r="J13" s="6">
        <v>10</v>
      </c>
      <c r="K13" s="6">
        <v>11</v>
      </c>
      <c r="L13" s="6">
        <v>12</v>
      </c>
      <c r="M13" s="6">
        <v>13</v>
      </c>
      <c r="N13" s="6">
        <v>14</v>
      </c>
      <c r="O13" s="6">
        <v>15</v>
      </c>
      <c r="P13" s="6">
        <v>16</v>
      </c>
      <c r="Q13" s="6">
        <v>17</v>
      </c>
    </row>
    <row r="14" spans="1:17" x14ac:dyDescent="0.35">
      <c r="A14" s="7"/>
      <c r="B14" s="8"/>
      <c r="C14" s="8"/>
      <c r="D14" s="9"/>
      <c r="E14" s="12"/>
      <c r="F14" s="12"/>
      <c r="G14" s="12"/>
      <c r="H14" s="12"/>
      <c r="I14" s="12"/>
      <c r="J14" s="12"/>
      <c r="K14" s="12"/>
      <c r="L14" s="57"/>
      <c r="M14" s="10"/>
      <c r="N14" s="12"/>
      <c r="O14" s="73"/>
      <c r="P14" s="37"/>
      <c r="Q14" s="8"/>
    </row>
    <row r="15" spans="1:17" ht="6.75" customHeight="1" x14ac:dyDescent="0.35">
      <c r="A15" s="15"/>
      <c r="B15" s="16"/>
      <c r="C15" s="16"/>
      <c r="D15" s="17"/>
      <c r="E15" s="20"/>
      <c r="F15" s="20"/>
      <c r="G15" s="20"/>
      <c r="H15" s="20"/>
      <c r="I15" s="20"/>
      <c r="J15" s="20"/>
      <c r="K15" s="20"/>
      <c r="L15" s="58"/>
      <c r="M15" s="18"/>
      <c r="N15" s="20"/>
      <c r="O15" s="74"/>
      <c r="P15" s="38"/>
      <c r="Q15" s="16"/>
    </row>
    <row r="16" spans="1:17" x14ac:dyDescent="0.35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4" t="s">
        <v>22</v>
      </c>
      <c r="N16" s="35"/>
      <c r="O16" s="79">
        <f>SUM(O14:O15)</f>
        <v>0</v>
      </c>
      <c r="P16" s="56"/>
      <c r="Q16" s="27"/>
    </row>
    <row r="17" spans="1:17" x14ac:dyDescent="0.3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40"/>
      <c r="N17" s="40"/>
      <c r="O17" s="41"/>
      <c r="P17" s="41"/>
      <c r="Q17" s="42"/>
    </row>
    <row r="18" spans="1:17" x14ac:dyDescent="0.35">
      <c r="D18" s="28" t="s">
        <v>23</v>
      </c>
      <c r="E18" s="28"/>
      <c r="O18" t="s">
        <v>69</v>
      </c>
    </row>
    <row r="19" spans="1:17" x14ac:dyDescent="0.35">
      <c r="D19" s="28" t="s">
        <v>24</v>
      </c>
      <c r="E19" s="28"/>
      <c r="O19" s="28" t="s">
        <v>25</v>
      </c>
      <c r="P19" s="28"/>
    </row>
    <row r="23" spans="1:17" x14ac:dyDescent="0.35">
      <c r="D23" s="28" t="s">
        <v>26</v>
      </c>
      <c r="E23" s="28"/>
      <c r="O23" s="28" t="s">
        <v>40</v>
      </c>
      <c r="P23" s="28"/>
    </row>
    <row r="24" spans="1:17" x14ac:dyDescent="0.35">
      <c r="D24" s="28" t="s">
        <v>27</v>
      </c>
      <c r="E24" s="28"/>
      <c r="O24" s="28" t="s">
        <v>28</v>
      </c>
      <c r="P24" s="28"/>
    </row>
  </sheetData>
  <mergeCells count="12">
    <mergeCell ref="L10:L12"/>
    <mergeCell ref="M10:M12"/>
    <mergeCell ref="N10:N12"/>
    <mergeCell ref="O10:O12"/>
    <mergeCell ref="Q10:Q12"/>
    <mergeCell ref="P10:P12"/>
    <mergeCell ref="J10:K11"/>
    <mergeCell ref="A10:A12"/>
    <mergeCell ref="B10:B12"/>
    <mergeCell ref="C10:D11"/>
    <mergeCell ref="E10:F11"/>
    <mergeCell ref="G10:I11"/>
  </mergeCells>
  <printOptions horizontalCentered="1"/>
  <pageMargins left="0.19685039370078741" right="0.19685039370078741" top="0.55118110236220474" bottom="0.55118110236220474" header="0.31496062992125984" footer="0.31496062992125984"/>
  <pageSetup paperSize="9" scale="62" orientation="landscape" horizontalDpi="0" verticalDpi="0" r:id="rId1"/>
  <headerFooter>
    <oddFooter>&amp;RHal &amp;P dari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O24"/>
  <sheetViews>
    <sheetView zoomScale="80" zoomScaleNormal="80" workbookViewId="0">
      <selection activeCell="A14" sqref="A14"/>
    </sheetView>
  </sheetViews>
  <sheetFormatPr defaultRowHeight="14.5" x14ac:dyDescent="0.35"/>
  <cols>
    <col min="1" max="1" width="4.7265625" customWidth="1"/>
    <col min="2" max="2" width="24.7265625" customWidth="1"/>
    <col min="3" max="3" width="11.26953125" customWidth="1"/>
    <col min="4" max="4" width="10.26953125" customWidth="1"/>
    <col min="5" max="5" width="9" customWidth="1"/>
    <col min="6" max="6" width="8" customWidth="1"/>
    <col min="7" max="7" width="15.453125" customWidth="1"/>
    <col min="8" max="8" width="10.7265625" customWidth="1"/>
    <col min="9" max="9" width="15.453125" customWidth="1"/>
    <col min="10" max="10" width="11" customWidth="1"/>
    <col min="11" max="11" width="12.54296875" customWidth="1"/>
    <col min="12" max="12" width="20" customWidth="1"/>
    <col min="13" max="13" width="12.54296875" customWidth="1"/>
    <col min="14" max="14" width="17.54296875" customWidth="1"/>
    <col min="15" max="15" width="18" customWidth="1"/>
  </cols>
  <sheetData>
    <row r="2" spans="1:15" ht="17.5" x14ac:dyDescent="0.35">
      <c r="C2" s="1" t="s">
        <v>105</v>
      </c>
    </row>
    <row r="3" spans="1:15" ht="15.5" x14ac:dyDescent="0.35">
      <c r="C3" s="2" t="s">
        <v>119</v>
      </c>
    </row>
    <row r="5" spans="1:15" x14ac:dyDescent="0.35">
      <c r="A5" t="s">
        <v>1</v>
      </c>
    </row>
    <row r="6" spans="1:15" x14ac:dyDescent="0.35">
      <c r="A6" t="s">
        <v>3</v>
      </c>
    </row>
    <row r="7" spans="1:15" x14ac:dyDescent="0.35">
      <c r="A7" t="s">
        <v>4</v>
      </c>
    </row>
    <row r="8" spans="1:15" x14ac:dyDescent="0.35">
      <c r="A8" t="s">
        <v>5</v>
      </c>
      <c r="J8" t="s">
        <v>106</v>
      </c>
      <c r="K8" s="3" t="s">
        <v>2</v>
      </c>
    </row>
    <row r="9" spans="1:15" ht="6.75" customHeight="1" x14ac:dyDescent="0.35"/>
    <row r="10" spans="1:15" x14ac:dyDescent="0.35">
      <c r="A10" s="170" t="s">
        <v>6</v>
      </c>
      <c r="B10" s="167" t="s">
        <v>7</v>
      </c>
      <c r="C10" s="167" t="s">
        <v>42</v>
      </c>
      <c r="D10" s="182" t="s">
        <v>43</v>
      </c>
      <c r="E10" s="186"/>
      <c r="F10" s="167" t="s">
        <v>44</v>
      </c>
      <c r="G10" s="182" t="s">
        <v>45</v>
      </c>
      <c r="H10" s="181" t="s">
        <v>46</v>
      </c>
      <c r="I10" s="181"/>
      <c r="J10" s="182" t="s">
        <v>71</v>
      </c>
      <c r="K10" s="181" t="s">
        <v>12</v>
      </c>
      <c r="L10" s="167" t="s">
        <v>48</v>
      </c>
      <c r="M10" s="167" t="s">
        <v>14</v>
      </c>
      <c r="N10" s="167" t="s">
        <v>72</v>
      </c>
      <c r="O10" s="181" t="s">
        <v>16</v>
      </c>
    </row>
    <row r="11" spans="1:15" x14ac:dyDescent="0.35">
      <c r="A11" s="170"/>
      <c r="B11" s="168"/>
      <c r="C11" s="168"/>
      <c r="D11" s="183"/>
      <c r="E11" s="189"/>
      <c r="F11" s="168"/>
      <c r="G11" s="184"/>
      <c r="H11" s="181"/>
      <c r="I11" s="181"/>
      <c r="J11" s="184"/>
      <c r="K11" s="181"/>
      <c r="L11" s="168"/>
      <c r="M11" s="168"/>
      <c r="N11" s="168"/>
      <c r="O11" s="181"/>
    </row>
    <row r="12" spans="1:15" ht="29" x14ac:dyDescent="0.35">
      <c r="A12" s="170"/>
      <c r="B12" s="169"/>
      <c r="C12" s="169"/>
      <c r="D12" s="5" t="s">
        <v>50</v>
      </c>
      <c r="E12" s="5" t="s">
        <v>51</v>
      </c>
      <c r="F12" s="169"/>
      <c r="G12" s="183"/>
      <c r="H12" s="29" t="s">
        <v>21</v>
      </c>
      <c r="I12" s="29" t="s">
        <v>8</v>
      </c>
      <c r="J12" s="183"/>
      <c r="K12" s="181"/>
      <c r="L12" s="169"/>
      <c r="M12" s="169"/>
      <c r="N12" s="169"/>
      <c r="O12" s="181"/>
    </row>
    <row r="13" spans="1:15" x14ac:dyDescent="0.35">
      <c r="A13" s="6">
        <v>1</v>
      </c>
      <c r="B13" s="6">
        <v>2</v>
      </c>
      <c r="C13" s="6">
        <v>3</v>
      </c>
      <c r="D13" s="6">
        <v>4</v>
      </c>
      <c r="E13" s="6">
        <v>5</v>
      </c>
      <c r="F13" s="6">
        <v>6</v>
      </c>
      <c r="G13" s="6">
        <v>7</v>
      </c>
      <c r="H13" s="6">
        <v>8</v>
      </c>
      <c r="I13" s="6">
        <v>9</v>
      </c>
      <c r="J13" s="6">
        <v>10</v>
      </c>
      <c r="K13" s="6">
        <v>11</v>
      </c>
      <c r="L13" s="6">
        <v>12</v>
      </c>
      <c r="M13" s="6">
        <v>13</v>
      </c>
      <c r="N13" s="6">
        <v>14</v>
      </c>
      <c r="O13" s="6">
        <v>15</v>
      </c>
    </row>
    <row r="14" spans="1:15" x14ac:dyDescent="0.35">
      <c r="A14" s="7"/>
      <c r="B14" s="8"/>
      <c r="C14" s="36"/>
      <c r="D14" s="12"/>
      <c r="E14" s="12"/>
      <c r="F14" s="14"/>
      <c r="G14" s="12"/>
      <c r="H14" s="13"/>
      <c r="I14" s="12"/>
      <c r="J14" s="13"/>
      <c r="K14" s="12"/>
      <c r="L14" s="12"/>
      <c r="M14" s="12"/>
      <c r="N14" s="76"/>
      <c r="O14" s="8"/>
    </row>
    <row r="15" spans="1:15" ht="5.25" customHeight="1" x14ac:dyDescent="0.35">
      <c r="A15" s="15"/>
      <c r="B15" s="16"/>
      <c r="C15" s="32"/>
      <c r="D15" s="20"/>
      <c r="E15" s="20"/>
      <c r="F15" s="22"/>
      <c r="G15" s="20"/>
      <c r="H15" s="21"/>
      <c r="I15" s="20"/>
      <c r="J15" s="21"/>
      <c r="K15" s="20"/>
      <c r="L15" s="20"/>
      <c r="M15" s="20"/>
      <c r="N15" s="77"/>
      <c r="O15" s="16"/>
    </row>
    <row r="16" spans="1:15" x14ac:dyDescent="0.35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34" t="s">
        <v>22</v>
      </c>
      <c r="M16" s="35"/>
      <c r="N16" s="75">
        <f>SUM(N14:N15)</f>
        <v>0</v>
      </c>
      <c r="O16" s="27"/>
    </row>
    <row r="18" spans="3:14" x14ac:dyDescent="0.35">
      <c r="C18" s="28" t="s">
        <v>23</v>
      </c>
      <c r="N18" s="28" t="s">
        <v>120</v>
      </c>
    </row>
    <row r="19" spans="3:14" x14ac:dyDescent="0.35">
      <c r="C19" s="28" t="s">
        <v>24</v>
      </c>
      <c r="N19" s="28" t="s">
        <v>25</v>
      </c>
    </row>
    <row r="20" spans="3:14" x14ac:dyDescent="0.35">
      <c r="N20" s="28"/>
    </row>
    <row r="21" spans="3:14" x14ac:dyDescent="0.35">
      <c r="N21" s="28"/>
    </row>
    <row r="22" spans="3:14" x14ac:dyDescent="0.35">
      <c r="N22" s="28"/>
    </row>
    <row r="23" spans="3:14" x14ac:dyDescent="0.35">
      <c r="C23" s="28" t="s">
        <v>26</v>
      </c>
      <c r="N23" s="28" t="s">
        <v>40</v>
      </c>
    </row>
    <row r="24" spans="3:14" x14ac:dyDescent="0.35">
      <c r="C24" s="28" t="s">
        <v>27</v>
      </c>
      <c r="N24" s="28" t="s">
        <v>28</v>
      </c>
    </row>
  </sheetData>
  <mergeCells count="13">
    <mergeCell ref="O10:O12"/>
    <mergeCell ref="H10:I11"/>
    <mergeCell ref="J10:J12"/>
    <mergeCell ref="K10:K12"/>
    <mergeCell ref="L10:L12"/>
    <mergeCell ref="M10:M12"/>
    <mergeCell ref="N10:N12"/>
    <mergeCell ref="G10:G12"/>
    <mergeCell ref="A10:A12"/>
    <mergeCell ref="B10:B12"/>
    <mergeCell ref="C10:C12"/>
    <mergeCell ref="D10:E11"/>
    <mergeCell ref="F10:F12"/>
  </mergeCells>
  <printOptions horizontalCentered="1"/>
  <pageMargins left="0.11811023622047245" right="0.11811023622047245" top="0.55118110236220474" bottom="0.55118110236220474" header="0.31496062992125984" footer="0.31496062992125984"/>
  <pageSetup paperSize="9" scale="73" orientation="landscape" horizontalDpi="0" verticalDpi="0" r:id="rId1"/>
  <headerFooter>
    <oddFooter>&amp;RHal &amp;P dari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M23"/>
  <sheetViews>
    <sheetView zoomScale="90" zoomScaleNormal="90" workbookViewId="0">
      <selection activeCell="A13" sqref="A13"/>
    </sheetView>
  </sheetViews>
  <sheetFormatPr defaultRowHeight="14.5" x14ac:dyDescent="0.35"/>
  <cols>
    <col min="1" max="1" width="6.54296875" customWidth="1"/>
    <col min="2" max="2" width="11.54296875" customWidth="1"/>
    <col min="3" max="3" width="35" customWidth="1"/>
    <col min="4" max="4" width="11.81640625" customWidth="1"/>
    <col min="5" max="5" width="15.81640625" customWidth="1"/>
  </cols>
  <sheetData>
    <row r="2" spans="1:13" ht="17.5" x14ac:dyDescent="0.35">
      <c r="C2" s="1" t="s">
        <v>107</v>
      </c>
    </row>
    <row r="3" spans="1:13" ht="15.5" x14ac:dyDescent="0.35">
      <c r="C3" s="2" t="s">
        <v>119</v>
      </c>
    </row>
    <row r="5" spans="1:13" x14ac:dyDescent="0.35">
      <c r="A5" t="s">
        <v>1</v>
      </c>
      <c r="C5" s="3" t="s">
        <v>2</v>
      </c>
    </row>
    <row r="6" spans="1:13" x14ac:dyDescent="0.35">
      <c r="A6" t="s">
        <v>3</v>
      </c>
      <c r="C6" s="3" t="s">
        <v>2</v>
      </c>
    </row>
    <row r="7" spans="1:13" x14ac:dyDescent="0.35">
      <c r="A7" t="s">
        <v>4</v>
      </c>
      <c r="C7" s="3" t="s">
        <v>2</v>
      </c>
    </row>
    <row r="8" spans="1:13" x14ac:dyDescent="0.35">
      <c r="A8" t="s">
        <v>5</v>
      </c>
      <c r="C8" s="3" t="s">
        <v>2</v>
      </c>
      <c r="H8" t="s">
        <v>100</v>
      </c>
      <c r="I8" s="3" t="s">
        <v>2</v>
      </c>
    </row>
    <row r="9" spans="1:13" ht="8.25" customHeight="1" x14ac:dyDescent="0.35"/>
    <row r="10" spans="1:13" x14ac:dyDescent="0.35">
      <c r="A10" s="170" t="s">
        <v>6</v>
      </c>
      <c r="B10" s="170" t="s">
        <v>108</v>
      </c>
      <c r="C10" s="170" t="s">
        <v>16</v>
      </c>
      <c r="D10" s="170" t="s">
        <v>109</v>
      </c>
      <c r="E10" s="170"/>
      <c r="F10" s="191" t="s">
        <v>116</v>
      </c>
      <c r="G10" s="191"/>
      <c r="H10" s="191"/>
      <c r="I10" s="191"/>
      <c r="J10" s="191"/>
      <c r="K10" s="191"/>
      <c r="L10" s="191"/>
      <c r="M10" s="191"/>
    </row>
    <row r="11" spans="1:13" x14ac:dyDescent="0.35">
      <c r="A11" s="170"/>
      <c r="B11" s="170"/>
      <c r="C11" s="170"/>
      <c r="D11" s="170"/>
      <c r="E11" s="170"/>
      <c r="F11" s="191" t="s">
        <v>111</v>
      </c>
      <c r="G11" s="191"/>
      <c r="H11" s="191" t="s">
        <v>113</v>
      </c>
      <c r="I11" s="191"/>
      <c r="J11" s="191" t="s">
        <v>114</v>
      </c>
      <c r="K11" s="191"/>
      <c r="L11" s="191" t="s">
        <v>115</v>
      </c>
      <c r="M11" s="191"/>
    </row>
    <row r="12" spans="1:13" x14ac:dyDescent="0.35">
      <c r="A12" s="170"/>
      <c r="B12" s="170"/>
      <c r="C12" s="170"/>
      <c r="D12" s="61" t="s">
        <v>110</v>
      </c>
      <c r="E12" s="61" t="s">
        <v>15</v>
      </c>
      <c r="F12" s="61" t="s">
        <v>110</v>
      </c>
      <c r="G12" s="61" t="s">
        <v>112</v>
      </c>
      <c r="H12" s="61" t="s">
        <v>110</v>
      </c>
      <c r="I12" s="61" t="s">
        <v>112</v>
      </c>
      <c r="J12" s="61" t="s">
        <v>110</v>
      </c>
      <c r="K12" s="61" t="s">
        <v>112</v>
      </c>
      <c r="L12" s="61" t="s">
        <v>110</v>
      </c>
      <c r="M12" s="61" t="s">
        <v>112</v>
      </c>
    </row>
    <row r="13" spans="1:13" x14ac:dyDescent="0.35">
      <c r="A13" s="64"/>
      <c r="B13" s="64"/>
      <c r="C13" s="67"/>
      <c r="D13" s="65"/>
      <c r="E13" s="80"/>
      <c r="F13" s="65"/>
      <c r="G13" s="69"/>
      <c r="H13" s="65"/>
      <c r="I13" s="69"/>
      <c r="J13" s="65"/>
      <c r="K13" s="69"/>
      <c r="L13" s="65"/>
      <c r="M13" s="69"/>
    </row>
    <row r="14" spans="1:13" ht="6.75" customHeight="1" x14ac:dyDescent="0.35">
      <c r="A14" s="66"/>
      <c r="B14" s="66"/>
      <c r="C14" s="68"/>
      <c r="D14" s="66"/>
      <c r="E14" s="81"/>
      <c r="F14" s="72"/>
      <c r="G14" s="70"/>
      <c r="H14" s="72"/>
      <c r="I14" s="70"/>
      <c r="J14" s="72"/>
      <c r="K14" s="70"/>
      <c r="L14" s="72"/>
      <c r="M14" s="70"/>
    </row>
    <row r="15" spans="1:13" x14ac:dyDescent="0.35">
      <c r="A15" s="62"/>
      <c r="B15" s="62"/>
      <c r="C15" s="62"/>
      <c r="D15" s="63">
        <f>SUM(D13:D14)</f>
        <v>0</v>
      </c>
      <c r="E15" s="82">
        <f t="shared" ref="E15:L15" si="0">SUM(E13:E14)</f>
        <v>0</v>
      </c>
      <c r="F15" s="63">
        <f t="shared" si="0"/>
        <v>0</v>
      </c>
      <c r="G15" s="71">
        <f>IF($D$15=0,0,F15/$D$15*100)</f>
        <v>0</v>
      </c>
      <c r="H15" s="63">
        <f t="shared" si="0"/>
        <v>0</v>
      </c>
      <c r="I15" s="71">
        <f>IF($D$15=0,0,H15/$D$15*100)</f>
        <v>0</v>
      </c>
      <c r="J15" s="63">
        <f t="shared" si="0"/>
        <v>0</v>
      </c>
      <c r="K15" s="71">
        <f>IF($D$15=0,0,J15/$D$15*100)</f>
        <v>0</v>
      </c>
      <c r="L15" s="63">
        <f t="shared" si="0"/>
        <v>0</v>
      </c>
      <c r="M15" s="71">
        <f>IF($D$15=0,0,L15/$D$15*100)</f>
        <v>0</v>
      </c>
    </row>
    <row r="17" spans="3:10" x14ac:dyDescent="0.35">
      <c r="C17" s="28" t="s">
        <v>23</v>
      </c>
      <c r="J17" s="28" t="s">
        <v>120</v>
      </c>
    </row>
    <row r="18" spans="3:10" x14ac:dyDescent="0.35">
      <c r="C18" s="28" t="s">
        <v>24</v>
      </c>
      <c r="J18" s="28" t="s">
        <v>25</v>
      </c>
    </row>
    <row r="19" spans="3:10" x14ac:dyDescent="0.35">
      <c r="J19" s="28"/>
    </row>
    <row r="20" spans="3:10" x14ac:dyDescent="0.35">
      <c r="J20" s="28"/>
    </row>
    <row r="21" spans="3:10" x14ac:dyDescent="0.35">
      <c r="J21" s="28"/>
    </row>
    <row r="22" spans="3:10" x14ac:dyDescent="0.35">
      <c r="C22" s="28" t="s">
        <v>26</v>
      </c>
      <c r="J22" s="28" t="s">
        <v>40</v>
      </c>
    </row>
    <row r="23" spans="3:10" x14ac:dyDescent="0.35">
      <c r="C23" s="28" t="s">
        <v>27</v>
      </c>
      <c r="J23" s="28" t="s">
        <v>28</v>
      </c>
    </row>
  </sheetData>
  <mergeCells count="9">
    <mergeCell ref="A10:A12"/>
    <mergeCell ref="F11:G11"/>
    <mergeCell ref="H11:I11"/>
    <mergeCell ref="J11:K11"/>
    <mergeCell ref="L11:M11"/>
    <mergeCell ref="F10:M10"/>
    <mergeCell ref="D10:E11"/>
    <mergeCell ref="C10:C12"/>
    <mergeCell ref="B10:B12"/>
  </mergeCells>
  <pageMargins left="0.31496062992125984" right="0.31496062992125984" top="0.55118110236220474" bottom="0.74803149606299213" header="0.31496062992125984" footer="0.31496062992125984"/>
  <pageSetup paperSize="9" scale="63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I23"/>
  <sheetViews>
    <sheetView zoomScale="90" zoomScaleNormal="90" workbookViewId="0">
      <selection activeCell="A13" sqref="A13"/>
    </sheetView>
  </sheetViews>
  <sheetFormatPr defaultRowHeight="14.5" x14ac:dyDescent="0.35"/>
  <cols>
    <col min="1" max="1" width="4.7265625" customWidth="1"/>
    <col min="2" max="2" width="8" customWidth="1"/>
    <col min="3" max="3" width="9" customWidth="1"/>
    <col min="4" max="4" width="45.7265625" customWidth="1"/>
    <col min="5" max="5" width="8.1796875" customWidth="1"/>
    <col min="6" max="6" width="14.26953125" customWidth="1"/>
    <col min="7" max="7" width="9.81640625" customWidth="1"/>
    <col min="8" max="8" width="17.1796875" customWidth="1"/>
    <col min="9" max="9" width="21.7265625" customWidth="1"/>
  </cols>
  <sheetData>
    <row r="2" spans="1:9" ht="17.5" x14ac:dyDescent="0.35">
      <c r="D2" s="1" t="s">
        <v>94</v>
      </c>
    </row>
    <row r="3" spans="1:9" ht="15.5" x14ac:dyDescent="0.35">
      <c r="D3" s="2" t="s">
        <v>119</v>
      </c>
    </row>
    <row r="4" spans="1:9" ht="19.5" customHeight="1" x14ac:dyDescent="0.35"/>
    <row r="5" spans="1:9" x14ac:dyDescent="0.35">
      <c r="A5" t="s">
        <v>1</v>
      </c>
    </row>
    <row r="6" spans="1:9" x14ac:dyDescent="0.35">
      <c r="A6" t="s">
        <v>3</v>
      </c>
    </row>
    <row r="7" spans="1:9" x14ac:dyDescent="0.35">
      <c r="A7" t="s">
        <v>4</v>
      </c>
    </row>
    <row r="8" spans="1:9" x14ac:dyDescent="0.35">
      <c r="A8" t="s">
        <v>5</v>
      </c>
      <c r="H8" t="s">
        <v>106</v>
      </c>
      <c r="I8" s="3" t="s">
        <v>2</v>
      </c>
    </row>
    <row r="9" spans="1:9" ht="7.5" customHeight="1" x14ac:dyDescent="0.35"/>
    <row r="10" spans="1:9" ht="15" customHeight="1" x14ac:dyDescent="0.35">
      <c r="A10" s="171" t="s">
        <v>6</v>
      </c>
      <c r="B10" s="167" t="s">
        <v>117</v>
      </c>
      <c r="C10" s="167" t="s">
        <v>118</v>
      </c>
      <c r="D10" s="171" t="s">
        <v>97</v>
      </c>
      <c r="E10" s="167" t="s">
        <v>95</v>
      </c>
      <c r="F10" s="167" t="s">
        <v>121</v>
      </c>
      <c r="G10" s="167" t="s">
        <v>96</v>
      </c>
      <c r="H10" s="167" t="s">
        <v>122</v>
      </c>
      <c r="I10" s="167" t="s">
        <v>97</v>
      </c>
    </row>
    <row r="11" spans="1:9" ht="37.5" customHeight="1" x14ac:dyDescent="0.35">
      <c r="A11" s="173"/>
      <c r="B11" s="169"/>
      <c r="C11" s="169"/>
      <c r="D11" s="173"/>
      <c r="E11" s="169"/>
      <c r="F11" s="169"/>
      <c r="G11" s="169"/>
      <c r="H11" s="169"/>
      <c r="I11" s="169"/>
    </row>
    <row r="12" spans="1:9" x14ac:dyDescent="0.35">
      <c r="A12" s="6">
        <v>1</v>
      </c>
      <c r="B12" s="6">
        <v>2</v>
      </c>
      <c r="C12" s="6">
        <v>3</v>
      </c>
      <c r="D12" s="6">
        <v>4</v>
      </c>
      <c r="E12" s="6">
        <v>5</v>
      </c>
      <c r="F12" s="6">
        <v>6</v>
      </c>
      <c r="G12" s="6">
        <v>7</v>
      </c>
      <c r="H12" s="6">
        <v>8</v>
      </c>
      <c r="I12" s="6">
        <v>9</v>
      </c>
    </row>
    <row r="13" spans="1:9" x14ac:dyDescent="0.35">
      <c r="A13" s="48"/>
      <c r="B13" s="49"/>
      <c r="C13" s="49"/>
      <c r="D13" s="8"/>
      <c r="E13" s="37"/>
      <c r="F13" s="83"/>
      <c r="G13" s="37"/>
      <c r="H13" s="83"/>
      <c r="I13" s="8"/>
    </row>
    <row r="14" spans="1:9" ht="9.75" customHeight="1" x14ac:dyDescent="0.35">
      <c r="A14" s="50"/>
      <c r="B14" s="51"/>
      <c r="C14" s="51"/>
      <c r="D14" s="16"/>
      <c r="E14" s="38"/>
      <c r="F14" s="84"/>
      <c r="G14" s="38"/>
      <c r="H14" s="84"/>
      <c r="I14" s="16"/>
    </row>
    <row r="15" spans="1:9" x14ac:dyDescent="0.35">
      <c r="A15" s="23"/>
      <c r="B15" s="24"/>
      <c r="C15" s="24"/>
      <c r="D15" s="26" t="s">
        <v>95</v>
      </c>
      <c r="E15" s="52">
        <f>SUM(E13:E14)</f>
        <v>0</v>
      </c>
      <c r="F15" s="85">
        <f t="shared" ref="F15:H15" si="0">SUM(F13:F14)</f>
        <v>0</v>
      </c>
      <c r="G15" s="52">
        <f t="shared" si="0"/>
        <v>0</v>
      </c>
      <c r="H15" s="85">
        <f t="shared" si="0"/>
        <v>0</v>
      </c>
      <c r="I15" s="27"/>
    </row>
    <row r="17" spans="3:8" x14ac:dyDescent="0.35">
      <c r="C17" s="28" t="s">
        <v>23</v>
      </c>
      <c r="H17" t="s">
        <v>120</v>
      </c>
    </row>
    <row r="18" spans="3:8" x14ac:dyDescent="0.35">
      <c r="C18" s="28" t="s">
        <v>24</v>
      </c>
    </row>
    <row r="19" spans="3:8" x14ac:dyDescent="0.35">
      <c r="H19" s="28" t="s">
        <v>25</v>
      </c>
    </row>
    <row r="22" spans="3:8" x14ac:dyDescent="0.35">
      <c r="C22" s="28" t="s">
        <v>26</v>
      </c>
      <c r="H22" s="28" t="s">
        <v>40</v>
      </c>
    </row>
    <row r="23" spans="3:8" x14ac:dyDescent="0.35">
      <c r="C23" s="28" t="s">
        <v>27</v>
      </c>
      <c r="H23" s="28" t="s">
        <v>28</v>
      </c>
    </row>
  </sheetData>
  <mergeCells count="9">
    <mergeCell ref="G10:G11"/>
    <mergeCell ref="H10:H11"/>
    <mergeCell ref="I10:I11"/>
    <mergeCell ref="A10:A11"/>
    <mergeCell ref="B10:B11"/>
    <mergeCell ref="C10:C11"/>
    <mergeCell ref="D10:D11"/>
    <mergeCell ref="E10:E11"/>
    <mergeCell ref="F10:F11"/>
  </mergeCells>
  <pageMargins left="0.31496062992125984" right="0.31496062992125984" top="0.55118110236220474" bottom="0.55118110236220474" header="0.31496062992125984" footer="0.31496062992125984"/>
  <pageSetup paperSize="9" scale="67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O24"/>
  <sheetViews>
    <sheetView zoomScale="82" zoomScaleNormal="82" workbookViewId="0">
      <selection activeCell="A14" sqref="A14"/>
    </sheetView>
  </sheetViews>
  <sheetFormatPr defaultRowHeight="14.5" x14ac:dyDescent="0.35"/>
  <cols>
    <col min="1" max="1" width="5" customWidth="1"/>
    <col min="2" max="2" width="25.453125" customWidth="1"/>
    <col min="3" max="3" width="6.81640625" customWidth="1"/>
    <col min="4" max="4" width="26.1796875" customWidth="1"/>
    <col min="5" max="5" width="20.81640625" customWidth="1"/>
    <col min="6" max="6" width="20.54296875" customWidth="1"/>
    <col min="7" max="8" width="15" customWidth="1"/>
    <col min="10" max="10" width="15.7265625" customWidth="1"/>
    <col min="11" max="11" width="10" customWidth="1"/>
    <col min="12" max="12" width="11" customWidth="1"/>
    <col min="13" max="13" width="8.453125" customWidth="1"/>
    <col min="14" max="14" width="14.453125" customWidth="1"/>
    <col min="15" max="15" width="15.7265625" customWidth="1"/>
  </cols>
  <sheetData>
    <row r="2" spans="1:15" ht="17.5" x14ac:dyDescent="0.35">
      <c r="C2" s="1" t="s">
        <v>83</v>
      </c>
    </row>
    <row r="3" spans="1:15" ht="15.5" x14ac:dyDescent="0.35">
      <c r="C3" s="2" t="s">
        <v>119</v>
      </c>
    </row>
    <row r="5" spans="1:15" x14ac:dyDescent="0.35">
      <c r="A5" t="s">
        <v>1</v>
      </c>
      <c r="C5" s="3" t="s">
        <v>2</v>
      </c>
    </row>
    <row r="6" spans="1:15" x14ac:dyDescent="0.35">
      <c r="A6" t="s">
        <v>3</v>
      </c>
      <c r="C6" s="3" t="s">
        <v>2</v>
      </c>
    </row>
    <row r="7" spans="1:15" x14ac:dyDescent="0.35">
      <c r="A7" t="s">
        <v>4</v>
      </c>
      <c r="C7" s="3" t="s">
        <v>2</v>
      </c>
    </row>
    <row r="8" spans="1:15" x14ac:dyDescent="0.35">
      <c r="A8" t="s">
        <v>5</v>
      </c>
      <c r="C8" s="3" t="s">
        <v>2</v>
      </c>
    </row>
    <row r="9" spans="1:15" ht="8.25" customHeight="1" x14ac:dyDescent="0.35"/>
    <row r="10" spans="1:15" x14ac:dyDescent="0.35">
      <c r="A10" s="170" t="s">
        <v>8</v>
      </c>
      <c r="B10" s="170"/>
      <c r="C10" s="170"/>
      <c r="D10" s="181" t="s">
        <v>84</v>
      </c>
      <c r="E10" s="181"/>
      <c r="F10" s="181"/>
      <c r="G10" s="167" t="s">
        <v>32</v>
      </c>
      <c r="H10" s="167" t="s">
        <v>85</v>
      </c>
      <c r="I10" s="167" t="s">
        <v>86</v>
      </c>
      <c r="J10" s="167" t="s">
        <v>87</v>
      </c>
      <c r="K10" s="167" t="s">
        <v>88</v>
      </c>
      <c r="L10" s="167" t="s">
        <v>89</v>
      </c>
      <c r="M10" s="182" t="s">
        <v>22</v>
      </c>
      <c r="N10" s="186"/>
      <c r="O10" s="181" t="s">
        <v>16</v>
      </c>
    </row>
    <row r="11" spans="1:15" x14ac:dyDescent="0.35">
      <c r="A11" s="170" t="s">
        <v>6</v>
      </c>
      <c r="B11" s="181" t="s">
        <v>19</v>
      </c>
      <c r="C11" s="181" t="s">
        <v>90</v>
      </c>
      <c r="D11" s="171" t="s">
        <v>7</v>
      </c>
      <c r="E11" s="181" t="s">
        <v>91</v>
      </c>
      <c r="F11" s="181" t="s">
        <v>92</v>
      </c>
      <c r="G11" s="168"/>
      <c r="H11" s="168"/>
      <c r="I11" s="168"/>
      <c r="J11" s="168"/>
      <c r="K11" s="168"/>
      <c r="L11" s="168"/>
      <c r="M11" s="183"/>
      <c r="N11" s="189"/>
      <c r="O11" s="181"/>
    </row>
    <row r="12" spans="1:15" ht="41.25" customHeight="1" x14ac:dyDescent="0.35">
      <c r="A12" s="170"/>
      <c r="B12" s="181"/>
      <c r="C12" s="181"/>
      <c r="D12" s="173"/>
      <c r="E12" s="181"/>
      <c r="F12" s="181"/>
      <c r="G12" s="169"/>
      <c r="H12" s="169"/>
      <c r="I12" s="169"/>
      <c r="J12" s="169"/>
      <c r="K12" s="169"/>
      <c r="L12" s="169"/>
      <c r="M12" s="5" t="s">
        <v>93</v>
      </c>
      <c r="N12" s="5" t="s">
        <v>15</v>
      </c>
      <c r="O12" s="181"/>
    </row>
    <row r="13" spans="1:15" x14ac:dyDescent="0.35">
      <c r="A13" s="6">
        <v>1</v>
      </c>
      <c r="B13" s="6">
        <v>2</v>
      </c>
      <c r="C13" s="6">
        <v>3</v>
      </c>
      <c r="D13" s="6">
        <v>4</v>
      </c>
      <c r="E13" s="6">
        <v>5</v>
      </c>
      <c r="F13" s="6">
        <v>6</v>
      </c>
      <c r="G13" s="6">
        <v>7</v>
      </c>
      <c r="H13" s="6">
        <v>8</v>
      </c>
      <c r="I13" s="6">
        <v>9</v>
      </c>
      <c r="J13" s="6">
        <v>10</v>
      </c>
      <c r="K13" s="6">
        <v>11</v>
      </c>
      <c r="L13" s="6">
        <v>12</v>
      </c>
      <c r="M13" s="6">
        <v>13</v>
      </c>
      <c r="N13" s="6">
        <v>14</v>
      </c>
      <c r="O13" s="6">
        <v>15</v>
      </c>
    </row>
    <row r="14" spans="1:15" x14ac:dyDescent="0.35">
      <c r="A14" s="7"/>
      <c r="B14" s="8"/>
      <c r="C14" s="9"/>
      <c r="D14" s="8"/>
      <c r="E14" s="36"/>
      <c r="F14" s="12"/>
      <c r="G14" s="12"/>
      <c r="H14" s="12"/>
      <c r="I14" s="10"/>
      <c r="J14" s="10"/>
      <c r="K14" s="10"/>
      <c r="L14" s="36"/>
      <c r="M14" s="31"/>
      <c r="N14" s="76"/>
      <c r="O14" s="8"/>
    </row>
    <row r="15" spans="1:15" ht="6" customHeight="1" x14ac:dyDescent="0.35">
      <c r="A15" s="15"/>
      <c r="B15" s="16"/>
      <c r="C15" s="17"/>
      <c r="D15" s="16"/>
      <c r="E15" s="32"/>
      <c r="F15" s="20"/>
      <c r="G15" s="20"/>
      <c r="H15" s="20"/>
      <c r="I15" s="18"/>
      <c r="J15" s="18"/>
      <c r="K15" s="18"/>
      <c r="L15" s="32"/>
      <c r="M15" s="33"/>
      <c r="N15" s="77"/>
      <c r="O15" s="16"/>
    </row>
    <row r="16" spans="1:15" x14ac:dyDescent="0.35">
      <c r="A16" s="23"/>
      <c r="B16" s="24"/>
      <c r="C16" s="24"/>
      <c r="D16" s="24"/>
      <c r="E16" s="24"/>
      <c r="F16" s="24"/>
      <c r="G16" s="24"/>
      <c r="H16" s="24"/>
      <c r="I16" s="24" t="s">
        <v>22</v>
      </c>
      <c r="J16" s="24"/>
      <c r="K16" s="24"/>
      <c r="L16" s="26"/>
      <c r="M16" s="46">
        <f>SUM(M14:M15)</f>
        <v>0</v>
      </c>
      <c r="N16" s="86">
        <f>SUM(N14:N15)</f>
        <v>0</v>
      </c>
      <c r="O16" s="27"/>
    </row>
    <row r="17" spans="1:15" x14ac:dyDescent="0.3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47"/>
      <c r="N17" s="47"/>
      <c r="O17" s="42"/>
    </row>
    <row r="18" spans="1:15" x14ac:dyDescent="0.35">
      <c r="C18" s="28" t="s">
        <v>23</v>
      </c>
      <c r="E18" s="28"/>
      <c r="N18" s="149" t="s">
        <v>120</v>
      </c>
      <c r="O18" s="149"/>
    </row>
    <row r="19" spans="1:15" x14ac:dyDescent="0.35">
      <c r="C19" s="28" t="s">
        <v>24</v>
      </c>
      <c r="E19" s="28"/>
    </row>
    <row r="20" spans="1:15" x14ac:dyDescent="0.35">
      <c r="L20" s="149" t="s">
        <v>25</v>
      </c>
      <c r="M20" s="149"/>
      <c r="N20" s="149"/>
      <c r="O20" s="149"/>
    </row>
    <row r="23" spans="1:15" x14ac:dyDescent="0.35">
      <c r="C23" s="28" t="s">
        <v>26</v>
      </c>
      <c r="E23" s="28"/>
      <c r="L23" s="149" t="s">
        <v>40</v>
      </c>
      <c r="M23" s="149"/>
      <c r="N23" s="149"/>
      <c r="O23" s="149"/>
    </row>
    <row r="24" spans="1:15" x14ac:dyDescent="0.35">
      <c r="C24" s="28" t="s">
        <v>27</v>
      </c>
      <c r="E24" s="28"/>
      <c r="L24" s="149" t="s">
        <v>28</v>
      </c>
      <c r="M24" s="149"/>
      <c r="N24" s="149"/>
      <c r="O24" s="149"/>
    </row>
  </sheetData>
  <mergeCells count="20">
    <mergeCell ref="N18:O18"/>
    <mergeCell ref="L20:O20"/>
    <mergeCell ref="L23:O23"/>
    <mergeCell ref="L24:O24"/>
    <mergeCell ref="K10:K12"/>
    <mergeCell ref="L10:L12"/>
    <mergeCell ref="M10:N11"/>
    <mergeCell ref="O10:O12"/>
    <mergeCell ref="I10:I12"/>
    <mergeCell ref="J10:J12"/>
    <mergeCell ref="F11:F12"/>
    <mergeCell ref="A10:C10"/>
    <mergeCell ref="D10:F10"/>
    <mergeCell ref="G10:G12"/>
    <mergeCell ref="H10:H12"/>
    <mergeCell ref="A11:A12"/>
    <mergeCell ref="B11:B12"/>
    <mergeCell ref="C11:C12"/>
    <mergeCell ref="D11:D12"/>
    <mergeCell ref="E11:E12"/>
  </mergeCells>
  <pageMargins left="0.11811023622047245" right="0.11811023622047245" top="0.55118110236220474" bottom="0.55118110236220474" header="0.31496062992125984" footer="0.31496062992125984"/>
  <pageSetup paperSize="9" scale="66" orientation="landscape" horizontalDpi="0" verticalDpi="0" r:id="rId1"/>
  <headerFooter>
    <oddFooter>&amp;RHal &amp;P dari 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A897-1E08-4CC3-9592-376E198ED155}">
  <dimension ref="A2:I126"/>
  <sheetViews>
    <sheetView topLeftCell="A6" zoomScale="90" zoomScaleNormal="90" workbookViewId="0">
      <selection activeCell="B118" sqref="B118"/>
    </sheetView>
  </sheetViews>
  <sheetFormatPr defaultRowHeight="14.5" x14ac:dyDescent="0.35"/>
  <cols>
    <col min="1" max="1" width="4.7265625" customWidth="1"/>
    <col min="2" max="2" width="42.81640625" customWidth="1"/>
    <col min="3" max="3" width="20.7265625" customWidth="1"/>
    <col min="4" max="4" width="7.81640625" customWidth="1"/>
    <col min="5" max="5" width="32.1796875" bestFit="1" customWidth="1"/>
    <col min="6" max="6" width="11" customWidth="1"/>
    <col min="7" max="7" width="7.81640625" customWidth="1"/>
    <col min="8" max="8" width="13.54296875" style="28" customWidth="1"/>
    <col min="9" max="9" width="21.1796875" customWidth="1"/>
  </cols>
  <sheetData>
    <row r="2" spans="1:9" ht="17.5" x14ac:dyDescent="0.35">
      <c r="C2" s="1" t="s">
        <v>73</v>
      </c>
    </row>
    <row r="3" spans="1:9" ht="15.5" x14ac:dyDescent="0.35">
      <c r="C3" s="2" t="s">
        <v>119</v>
      </c>
    </row>
    <row r="5" spans="1:9" x14ac:dyDescent="0.35">
      <c r="A5" t="s">
        <v>3</v>
      </c>
      <c r="C5" t="s">
        <v>127</v>
      </c>
    </row>
    <row r="6" spans="1:9" x14ac:dyDescent="0.35">
      <c r="A6" t="s">
        <v>4</v>
      </c>
      <c r="C6" t="s">
        <v>127</v>
      </c>
    </row>
    <row r="7" spans="1:9" x14ac:dyDescent="0.35">
      <c r="A7" t="s">
        <v>5</v>
      </c>
      <c r="C7" t="s">
        <v>127</v>
      </c>
    </row>
    <row r="8" spans="1:9" x14ac:dyDescent="0.35">
      <c r="A8" t="s">
        <v>74</v>
      </c>
      <c r="C8" t="s">
        <v>128</v>
      </c>
    </row>
    <row r="9" spans="1:9" x14ac:dyDescent="0.35">
      <c r="A9" t="s">
        <v>75</v>
      </c>
      <c r="C9" t="s">
        <v>129</v>
      </c>
    </row>
    <row r="10" spans="1:9" x14ac:dyDescent="0.35">
      <c r="A10" t="s">
        <v>76</v>
      </c>
      <c r="C10" t="s">
        <v>130</v>
      </c>
    </row>
    <row r="11" spans="1:9" x14ac:dyDescent="0.35">
      <c r="E11" t="s">
        <v>123</v>
      </c>
      <c r="F11" t="s">
        <v>131</v>
      </c>
    </row>
    <row r="12" spans="1:9" x14ac:dyDescent="0.35">
      <c r="E12" t="s">
        <v>77</v>
      </c>
      <c r="F12" t="s">
        <v>132</v>
      </c>
    </row>
    <row r="13" spans="1:9" ht="6.75" customHeight="1" x14ac:dyDescent="0.35"/>
    <row r="14" spans="1:9" s="101" customFormat="1" x14ac:dyDescent="0.35">
      <c r="A14" s="150" t="s">
        <v>6</v>
      </c>
      <c r="B14" s="151" t="s">
        <v>7</v>
      </c>
      <c r="C14" s="154" t="s">
        <v>8</v>
      </c>
      <c r="D14" s="155"/>
      <c r="E14" s="158" t="s">
        <v>78</v>
      </c>
      <c r="F14" s="158" t="s">
        <v>80</v>
      </c>
      <c r="G14" s="158" t="s">
        <v>22</v>
      </c>
      <c r="H14" s="158" t="s">
        <v>98</v>
      </c>
      <c r="I14" s="166" t="s">
        <v>16</v>
      </c>
    </row>
    <row r="15" spans="1:9" s="101" customFormat="1" x14ac:dyDescent="0.35">
      <c r="A15" s="150"/>
      <c r="B15" s="152"/>
      <c r="C15" s="156"/>
      <c r="D15" s="157"/>
      <c r="E15" s="159"/>
      <c r="F15" s="159"/>
      <c r="G15" s="159"/>
      <c r="H15" s="159"/>
      <c r="I15" s="166"/>
    </row>
    <row r="16" spans="1:9" s="101" customFormat="1" x14ac:dyDescent="0.35">
      <c r="A16" s="150"/>
      <c r="B16" s="153"/>
      <c r="C16" s="102" t="s">
        <v>19</v>
      </c>
      <c r="D16" s="103" t="s">
        <v>49</v>
      </c>
      <c r="E16" s="160"/>
      <c r="F16" s="160"/>
      <c r="G16" s="160"/>
      <c r="H16" s="160"/>
      <c r="I16" s="166"/>
    </row>
    <row r="17" spans="1:9" s="101" customFormat="1" x14ac:dyDescent="0.35">
      <c r="A17" s="104">
        <v>1</v>
      </c>
      <c r="B17" s="104">
        <v>2</v>
      </c>
      <c r="C17" s="104">
        <v>3</v>
      </c>
      <c r="D17" s="104">
        <v>4</v>
      </c>
      <c r="E17" s="104">
        <v>5</v>
      </c>
      <c r="F17" s="104">
        <v>6</v>
      </c>
      <c r="G17" s="104">
        <v>7</v>
      </c>
      <c r="H17" s="104">
        <v>8</v>
      </c>
      <c r="I17" s="104">
        <v>9</v>
      </c>
    </row>
    <row r="18" spans="1:9" ht="34.5" x14ac:dyDescent="0.35">
      <c r="A18" s="106">
        <v>1</v>
      </c>
      <c r="B18" s="27" t="s">
        <v>137</v>
      </c>
      <c r="C18" s="27" t="s">
        <v>138</v>
      </c>
      <c r="D18" s="27">
        <v>8</v>
      </c>
      <c r="E18" s="112" t="s">
        <v>139</v>
      </c>
      <c r="F18" s="113">
        <v>2010</v>
      </c>
      <c r="G18" s="113">
        <v>1</v>
      </c>
      <c r="H18" s="105" t="s">
        <v>111</v>
      </c>
      <c r="I18" s="27"/>
    </row>
    <row r="19" spans="1:9" ht="34.5" x14ac:dyDescent="0.35">
      <c r="A19" s="106">
        <v>2</v>
      </c>
      <c r="B19" s="27" t="s">
        <v>142</v>
      </c>
      <c r="C19" s="27" t="s">
        <v>143</v>
      </c>
      <c r="D19" s="27">
        <v>4</v>
      </c>
      <c r="E19" s="112"/>
      <c r="F19" s="113">
        <v>2013</v>
      </c>
      <c r="G19" s="113">
        <v>1</v>
      </c>
      <c r="H19" s="105" t="s">
        <v>111</v>
      </c>
      <c r="I19" s="27"/>
    </row>
    <row r="20" spans="1:9" ht="34.5" x14ac:dyDescent="0.35">
      <c r="A20" s="106">
        <v>3</v>
      </c>
      <c r="B20" s="27" t="s">
        <v>144</v>
      </c>
      <c r="C20" s="27" t="s">
        <v>145</v>
      </c>
      <c r="D20" s="27">
        <v>62</v>
      </c>
      <c r="E20" s="112"/>
      <c r="F20" s="113">
        <v>2014</v>
      </c>
      <c r="G20" s="113">
        <v>1</v>
      </c>
      <c r="H20" s="105" t="s">
        <v>111</v>
      </c>
      <c r="I20" s="27"/>
    </row>
    <row r="21" spans="1:9" ht="34.5" x14ac:dyDescent="0.35">
      <c r="A21" s="106">
        <v>4</v>
      </c>
      <c r="B21" s="27" t="s">
        <v>147</v>
      </c>
      <c r="C21" s="27" t="s">
        <v>148</v>
      </c>
      <c r="D21" s="27">
        <v>1</v>
      </c>
      <c r="E21" s="112" t="s">
        <v>149</v>
      </c>
      <c r="F21" s="113">
        <v>2016</v>
      </c>
      <c r="G21" s="113">
        <v>1</v>
      </c>
      <c r="H21" s="105" t="s">
        <v>111</v>
      </c>
      <c r="I21" s="27"/>
    </row>
    <row r="22" spans="1:9" ht="34.5" x14ac:dyDescent="0.35">
      <c r="A22" s="106">
        <v>5</v>
      </c>
      <c r="B22" s="27" t="s">
        <v>151</v>
      </c>
      <c r="C22" s="27" t="s">
        <v>152</v>
      </c>
      <c r="D22" s="27">
        <v>13</v>
      </c>
      <c r="E22" s="112" t="s">
        <v>153</v>
      </c>
      <c r="F22" s="113">
        <v>2016</v>
      </c>
      <c r="G22" s="113">
        <v>1</v>
      </c>
      <c r="H22" s="105" t="s">
        <v>111</v>
      </c>
      <c r="I22" s="27"/>
    </row>
    <row r="23" spans="1:9" ht="34.5" x14ac:dyDescent="0.35">
      <c r="A23" s="106">
        <v>6</v>
      </c>
      <c r="B23" s="27" t="s">
        <v>155</v>
      </c>
      <c r="C23" s="27" t="s">
        <v>156</v>
      </c>
      <c r="D23" s="27">
        <v>7</v>
      </c>
      <c r="E23" s="112"/>
      <c r="F23" s="113">
        <v>2017</v>
      </c>
      <c r="G23" s="113">
        <v>1</v>
      </c>
      <c r="H23" s="105" t="s">
        <v>111</v>
      </c>
      <c r="I23" s="27"/>
    </row>
    <row r="24" spans="1:9" ht="34.5" x14ac:dyDescent="0.35">
      <c r="A24" s="106">
        <v>7</v>
      </c>
      <c r="B24" s="27" t="s">
        <v>159</v>
      </c>
      <c r="C24" s="27" t="s">
        <v>160</v>
      </c>
      <c r="D24" s="27">
        <v>2</v>
      </c>
      <c r="E24" s="112"/>
      <c r="F24" s="113">
        <v>2017</v>
      </c>
      <c r="G24" s="113">
        <v>1</v>
      </c>
      <c r="H24" s="105" t="s">
        <v>111</v>
      </c>
      <c r="I24" s="27"/>
    </row>
    <row r="25" spans="1:9" ht="34.5" x14ac:dyDescent="0.35">
      <c r="A25" s="106">
        <v>8</v>
      </c>
      <c r="B25" s="27" t="s">
        <v>161</v>
      </c>
      <c r="C25" s="27" t="s">
        <v>162</v>
      </c>
      <c r="D25" s="27">
        <v>104</v>
      </c>
      <c r="E25" s="112" t="s">
        <v>163</v>
      </c>
      <c r="F25" s="113">
        <v>2017</v>
      </c>
      <c r="G25" s="113">
        <v>1</v>
      </c>
      <c r="H25" s="105" t="s">
        <v>111</v>
      </c>
      <c r="I25" s="27"/>
    </row>
    <row r="26" spans="1:9" ht="34.5" x14ac:dyDescent="0.35">
      <c r="A26" s="106">
        <v>9</v>
      </c>
      <c r="B26" s="27" t="s">
        <v>164</v>
      </c>
      <c r="C26" s="27" t="s">
        <v>162</v>
      </c>
      <c r="D26" s="27">
        <v>118</v>
      </c>
      <c r="E26" s="112" t="s">
        <v>165</v>
      </c>
      <c r="F26" s="113">
        <v>2017</v>
      </c>
      <c r="G26" s="113">
        <v>1</v>
      </c>
      <c r="H26" s="105" t="s">
        <v>111</v>
      </c>
      <c r="I26" s="27"/>
    </row>
    <row r="27" spans="1:9" ht="34.5" x14ac:dyDescent="0.35">
      <c r="A27" s="106">
        <v>10</v>
      </c>
      <c r="B27" s="27" t="s">
        <v>164</v>
      </c>
      <c r="C27" s="27" t="s">
        <v>162</v>
      </c>
      <c r="D27" s="27">
        <v>119</v>
      </c>
      <c r="E27" s="112" t="s">
        <v>165</v>
      </c>
      <c r="F27" s="113">
        <v>2017</v>
      </c>
      <c r="G27" s="113">
        <v>1</v>
      </c>
      <c r="H27" s="105" t="s">
        <v>111</v>
      </c>
      <c r="I27" s="27"/>
    </row>
    <row r="28" spans="1:9" ht="34.5" x14ac:dyDescent="0.35">
      <c r="A28" s="106">
        <v>11</v>
      </c>
      <c r="B28" s="27" t="s">
        <v>144</v>
      </c>
      <c r="C28" s="27" t="s">
        <v>162</v>
      </c>
      <c r="D28" s="27">
        <v>150</v>
      </c>
      <c r="E28" s="112" t="s">
        <v>167</v>
      </c>
      <c r="F28" s="113">
        <v>2017</v>
      </c>
      <c r="G28" s="113">
        <v>1</v>
      </c>
      <c r="H28" s="105" t="s">
        <v>111</v>
      </c>
      <c r="I28" s="27"/>
    </row>
    <row r="29" spans="1:9" ht="34.5" x14ac:dyDescent="0.35">
      <c r="A29" s="106">
        <v>12</v>
      </c>
      <c r="B29" s="27" t="s">
        <v>168</v>
      </c>
      <c r="C29" s="27" t="s">
        <v>162</v>
      </c>
      <c r="D29" s="27">
        <v>216</v>
      </c>
      <c r="E29" s="112" t="s">
        <v>167</v>
      </c>
      <c r="F29" s="113">
        <v>2017</v>
      </c>
      <c r="G29" s="113">
        <v>1</v>
      </c>
      <c r="H29" s="105" t="s">
        <v>111</v>
      </c>
      <c r="I29" s="27"/>
    </row>
    <row r="30" spans="1:9" ht="34.5" x14ac:dyDescent="0.35">
      <c r="A30" s="106">
        <v>13</v>
      </c>
      <c r="B30" s="27" t="s">
        <v>168</v>
      </c>
      <c r="C30" s="27" t="s">
        <v>162</v>
      </c>
      <c r="D30" s="27">
        <v>217</v>
      </c>
      <c r="E30" s="112" t="s">
        <v>167</v>
      </c>
      <c r="F30" s="113">
        <v>2017</v>
      </c>
      <c r="G30" s="113">
        <v>1</v>
      </c>
      <c r="H30" s="105" t="s">
        <v>111</v>
      </c>
      <c r="I30" s="27"/>
    </row>
    <row r="31" spans="1:9" ht="34.5" x14ac:dyDescent="0.35">
      <c r="A31" s="106">
        <v>14</v>
      </c>
      <c r="B31" s="27" t="s">
        <v>168</v>
      </c>
      <c r="C31" s="27" t="s">
        <v>162</v>
      </c>
      <c r="D31" s="27">
        <v>218</v>
      </c>
      <c r="E31" s="112" t="s">
        <v>167</v>
      </c>
      <c r="F31" s="113">
        <v>2017</v>
      </c>
      <c r="G31" s="113">
        <v>1</v>
      </c>
      <c r="H31" s="105" t="s">
        <v>111</v>
      </c>
      <c r="I31" s="27"/>
    </row>
    <row r="32" spans="1:9" ht="34.5" x14ac:dyDescent="0.35">
      <c r="A32" s="106">
        <v>15</v>
      </c>
      <c r="B32" s="27" t="s">
        <v>164</v>
      </c>
      <c r="C32" s="27" t="s">
        <v>162</v>
      </c>
      <c r="D32" s="27">
        <v>387</v>
      </c>
      <c r="E32" s="112" t="s">
        <v>169</v>
      </c>
      <c r="F32" s="113">
        <v>2017</v>
      </c>
      <c r="G32" s="113">
        <v>1</v>
      </c>
      <c r="H32" s="105" t="s">
        <v>111</v>
      </c>
      <c r="I32" s="27"/>
    </row>
    <row r="33" spans="1:9" ht="34.5" x14ac:dyDescent="0.35">
      <c r="A33" s="106">
        <v>16</v>
      </c>
      <c r="B33" s="27" t="s">
        <v>164</v>
      </c>
      <c r="C33" s="27" t="s">
        <v>162</v>
      </c>
      <c r="D33" s="27">
        <v>388</v>
      </c>
      <c r="E33" s="112" t="s">
        <v>169</v>
      </c>
      <c r="F33" s="113">
        <v>2017</v>
      </c>
      <c r="G33" s="113">
        <v>1</v>
      </c>
      <c r="H33" s="105" t="s">
        <v>111</v>
      </c>
      <c r="I33" s="27"/>
    </row>
    <row r="34" spans="1:9" ht="34.5" x14ac:dyDescent="0.35">
      <c r="A34" s="106">
        <v>17</v>
      </c>
      <c r="B34" s="27" t="s">
        <v>164</v>
      </c>
      <c r="C34" s="27" t="s">
        <v>162</v>
      </c>
      <c r="D34" s="27">
        <v>389</v>
      </c>
      <c r="E34" s="112" t="s">
        <v>169</v>
      </c>
      <c r="F34" s="113">
        <v>2017</v>
      </c>
      <c r="G34" s="113">
        <v>1</v>
      </c>
      <c r="H34" s="105" t="s">
        <v>111</v>
      </c>
      <c r="I34" s="27"/>
    </row>
    <row r="35" spans="1:9" ht="34.5" x14ac:dyDescent="0.35">
      <c r="A35" s="106">
        <v>18</v>
      </c>
      <c r="B35" s="27" t="s">
        <v>164</v>
      </c>
      <c r="C35" s="27" t="s">
        <v>162</v>
      </c>
      <c r="D35" s="27">
        <v>390</v>
      </c>
      <c r="E35" s="112" t="s">
        <v>169</v>
      </c>
      <c r="F35" s="113">
        <v>2017</v>
      </c>
      <c r="G35" s="113">
        <v>1</v>
      </c>
      <c r="H35" s="105" t="s">
        <v>111</v>
      </c>
      <c r="I35" s="27"/>
    </row>
    <row r="36" spans="1:9" ht="34.5" x14ac:dyDescent="0.35">
      <c r="A36" s="106">
        <v>19</v>
      </c>
      <c r="B36" s="27" t="s">
        <v>164</v>
      </c>
      <c r="C36" s="27" t="s">
        <v>162</v>
      </c>
      <c r="D36" s="27">
        <v>391</v>
      </c>
      <c r="E36" s="112" t="s">
        <v>169</v>
      </c>
      <c r="F36" s="113">
        <v>2017</v>
      </c>
      <c r="G36" s="113">
        <v>1</v>
      </c>
      <c r="H36" s="105" t="s">
        <v>111</v>
      </c>
      <c r="I36" s="27"/>
    </row>
    <row r="37" spans="1:9" ht="34.5" x14ac:dyDescent="0.35">
      <c r="A37" s="106">
        <v>20</v>
      </c>
      <c r="B37" s="27" t="s">
        <v>170</v>
      </c>
      <c r="C37" s="27" t="s">
        <v>171</v>
      </c>
      <c r="D37" s="27">
        <v>2</v>
      </c>
      <c r="E37" s="112" t="s">
        <v>172</v>
      </c>
      <c r="F37" s="113">
        <v>2017</v>
      </c>
      <c r="G37" s="113">
        <v>1</v>
      </c>
      <c r="H37" s="105" t="s">
        <v>111</v>
      </c>
      <c r="I37" s="27"/>
    </row>
    <row r="38" spans="1:9" ht="34.5" x14ac:dyDescent="0.35">
      <c r="A38" s="106">
        <v>21</v>
      </c>
      <c r="B38" s="27" t="s">
        <v>170</v>
      </c>
      <c r="C38" s="27" t="s">
        <v>171</v>
      </c>
      <c r="D38" s="27">
        <v>3</v>
      </c>
      <c r="E38" s="112" t="s">
        <v>172</v>
      </c>
      <c r="F38" s="113">
        <v>2017</v>
      </c>
      <c r="G38" s="113">
        <v>1</v>
      </c>
      <c r="H38" s="105" t="s">
        <v>111</v>
      </c>
      <c r="I38" s="27"/>
    </row>
    <row r="39" spans="1:9" ht="34.5" x14ac:dyDescent="0.35">
      <c r="A39" s="106">
        <v>22</v>
      </c>
      <c r="B39" s="27" t="s">
        <v>170</v>
      </c>
      <c r="C39" s="27" t="s">
        <v>171</v>
      </c>
      <c r="D39" s="27">
        <v>4</v>
      </c>
      <c r="E39" s="112" t="s">
        <v>172</v>
      </c>
      <c r="F39" s="113">
        <v>2017</v>
      </c>
      <c r="G39" s="113">
        <v>1</v>
      </c>
      <c r="H39" s="105" t="s">
        <v>111</v>
      </c>
      <c r="I39" s="27"/>
    </row>
    <row r="40" spans="1:9" ht="34.5" x14ac:dyDescent="0.35">
      <c r="A40" s="106">
        <v>23</v>
      </c>
      <c r="B40" s="27" t="s">
        <v>173</v>
      </c>
      <c r="C40" s="27" t="s">
        <v>174</v>
      </c>
      <c r="D40" s="27">
        <v>13</v>
      </c>
      <c r="E40" s="112" t="s">
        <v>175</v>
      </c>
      <c r="F40" s="113">
        <v>2017</v>
      </c>
      <c r="G40" s="113">
        <v>1</v>
      </c>
      <c r="H40" s="105" t="s">
        <v>111</v>
      </c>
      <c r="I40" s="27"/>
    </row>
    <row r="41" spans="1:9" ht="34.5" x14ac:dyDescent="0.35">
      <c r="A41" s="106">
        <v>24</v>
      </c>
      <c r="B41" s="27" t="s">
        <v>173</v>
      </c>
      <c r="C41" s="27" t="s">
        <v>174</v>
      </c>
      <c r="D41" s="27">
        <v>14</v>
      </c>
      <c r="E41" s="112" t="s">
        <v>175</v>
      </c>
      <c r="F41" s="113">
        <v>2017</v>
      </c>
      <c r="G41" s="113">
        <v>1</v>
      </c>
      <c r="H41" s="105" t="s">
        <v>111</v>
      </c>
      <c r="I41" s="27"/>
    </row>
    <row r="42" spans="1:9" ht="34.5" x14ac:dyDescent="0.35">
      <c r="A42" s="106">
        <v>25</v>
      </c>
      <c r="B42" s="27" t="s">
        <v>173</v>
      </c>
      <c r="C42" s="27" t="s">
        <v>174</v>
      </c>
      <c r="D42" s="27">
        <v>15</v>
      </c>
      <c r="E42" s="112" t="s">
        <v>175</v>
      </c>
      <c r="F42" s="113">
        <v>2017</v>
      </c>
      <c r="G42" s="113">
        <v>1</v>
      </c>
      <c r="H42" s="105" t="s">
        <v>111</v>
      </c>
      <c r="I42" s="27"/>
    </row>
    <row r="43" spans="1:9" ht="34.5" x14ac:dyDescent="0.35">
      <c r="A43" s="106">
        <v>26</v>
      </c>
      <c r="B43" s="27" t="s">
        <v>173</v>
      </c>
      <c r="C43" s="27" t="s">
        <v>174</v>
      </c>
      <c r="D43" s="27">
        <v>30</v>
      </c>
      <c r="E43" s="112" t="s">
        <v>175</v>
      </c>
      <c r="F43" s="113">
        <v>2017</v>
      </c>
      <c r="G43" s="113">
        <v>1</v>
      </c>
      <c r="H43" s="105" t="s">
        <v>111</v>
      </c>
      <c r="I43" s="27"/>
    </row>
    <row r="44" spans="1:9" ht="34.5" x14ac:dyDescent="0.35">
      <c r="A44" s="106">
        <v>27</v>
      </c>
      <c r="B44" s="27" t="s">
        <v>176</v>
      </c>
      <c r="C44" s="27" t="s">
        <v>177</v>
      </c>
      <c r="D44" s="27">
        <v>1</v>
      </c>
      <c r="E44" s="112"/>
      <c r="F44" s="113">
        <v>2018</v>
      </c>
      <c r="G44" s="113">
        <v>1</v>
      </c>
      <c r="H44" s="105" t="s">
        <v>111</v>
      </c>
      <c r="I44" s="27"/>
    </row>
    <row r="45" spans="1:9" ht="34.5" x14ac:dyDescent="0.35">
      <c r="A45" s="106">
        <v>28</v>
      </c>
      <c r="B45" s="27" t="s">
        <v>179</v>
      </c>
      <c r="C45" s="27" t="s">
        <v>180</v>
      </c>
      <c r="D45" s="27">
        <v>8</v>
      </c>
      <c r="E45" s="112" t="s">
        <v>181</v>
      </c>
      <c r="F45" s="113">
        <v>2018</v>
      </c>
      <c r="G45" s="113">
        <v>1</v>
      </c>
      <c r="H45" s="105" t="s">
        <v>111</v>
      </c>
      <c r="I45" s="27"/>
    </row>
    <row r="46" spans="1:9" ht="34.5" x14ac:dyDescent="0.35">
      <c r="A46" s="106">
        <v>29</v>
      </c>
      <c r="B46" s="27" t="s">
        <v>179</v>
      </c>
      <c r="C46" s="27" t="s">
        <v>180</v>
      </c>
      <c r="D46" s="27">
        <v>21</v>
      </c>
      <c r="E46" s="112" t="s">
        <v>181</v>
      </c>
      <c r="F46" s="113">
        <v>2018</v>
      </c>
      <c r="G46" s="113">
        <v>1</v>
      </c>
      <c r="H46" s="105" t="s">
        <v>111</v>
      </c>
      <c r="I46" s="27"/>
    </row>
    <row r="47" spans="1:9" ht="34.5" x14ac:dyDescent="0.35">
      <c r="A47" s="106">
        <v>30</v>
      </c>
      <c r="B47" s="27" t="s">
        <v>179</v>
      </c>
      <c r="C47" s="27" t="s">
        <v>180</v>
      </c>
      <c r="D47" s="27">
        <v>22</v>
      </c>
      <c r="E47" s="112" t="s">
        <v>181</v>
      </c>
      <c r="F47" s="113">
        <v>2018</v>
      </c>
      <c r="G47" s="113">
        <v>1</v>
      </c>
      <c r="H47" s="105" t="s">
        <v>111</v>
      </c>
      <c r="I47" s="27"/>
    </row>
    <row r="48" spans="1:9" ht="34.5" x14ac:dyDescent="0.35">
      <c r="A48" s="106">
        <v>31</v>
      </c>
      <c r="B48" s="27" t="s">
        <v>182</v>
      </c>
      <c r="C48" s="27" t="s">
        <v>183</v>
      </c>
      <c r="D48" s="27">
        <v>11</v>
      </c>
      <c r="E48" s="112" t="s">
        <v>184</v>
      </c>
      <c r="F48" s="113">
        <v>2018</v>
      </c>
      <c r="G48" s="113">
        <v>1</v>
      </c>
      <c r="H48" s="105" t="s">
        <v>111</v>
      </c>
      <c r="I48" s="27"/>
    </row>
    <row r="49" spans="1:9" ht="34.5" x14ac:dyDescent="0.35">
      <c r="A49" s="106">
        <v>32</v>
      </c>
      <c r="B49" s="27" t="s">
        <v>182</v>
      </c>
      <c r="C49" s="27" t="s">
        <v>183</v>
      </c>
      <c r="D49" s="27">
        <v>12</v>
      </c>
      <c r="E49" s="112" t="s">
        <v>184</v>
      </c>
      <c r="F49" s="113">
        <v>2018</v>
      </c>
      <c r="G49" s="113">
        <v>1</v>
      </c>
      <c r="H49" s="105" t="s">
        <v>111</v>
      </c>
      <c r="I49" s="27"/>
    </row>
    <row r="50" spans="1:9" ht="34.5" x14ac:dyDescent="0.35">
      <c r="A50" s="106">
        <v>33</v>
      </c>
      <c r="B50" s="27" t="s">
        <v>185</v>
      </c>
      <c r="C50" s="27" t="s">
        <v>186</v>
      </c>
      <c r="D50" s="27">
        <v>5</v>
      </c>
      <c r="E50" s="112" t="s">
        <v>187</v>
      </c>
      <c r="F50" s="113">
        <v>2018</v>
      </c>
      <c r="G50" s="113">
        <v>1</v>
      </c>
      <c r="H50" s="105" t="s">
        <v>111</v>
      </c>
      <c r="I50" s="27"/>
    </row>
    <row r="51" spans="1:9" ht="34.5" x14ac:dyDescent="0.35">
      <c r="A51" s="106">
        <v>34</v>
      </c>
      <c r="B51" s="27" t="s">
        <v>188</v>
      </c>
      <c r="C51" s="27" t="s">
        <v>189</v>
      </c>
      <c r="D51" s="27">
        <v>35</v>
      </c>
      <c r="E51" s="112" t="s">
        <v>190</v>
      </c>
      <c r="F51" s="113">
        <v>2020</v>
      </c>
      <c r="G51" s="113">
        <v>1</v>
      </c>
      <c r="H51" s="105" t="s">
        <v>111</v>
      </c>
      <c r="I51" s="27"/>
    </row>
    <row r="52" spans="1:9" ht="34.5" x14ac:dyDescent="0.35">
      <c r="A52" s="106">
        <v>35</v>
      </c>
      <c r="B52" s="27" t="s">
        <v>188</v>
      </c>
      <c r="C52" s="27" t="s">
        <v>189</v>
      </c>
      <c r="D52" s="27">
        <v>36</v>
      </c>
      <c r="E52" s="112" t="s">
        <v>190</v>
      </c>
      <c r="F52" s="113">
        <v>2020</v>
      </c>
      <c r="G52" s="113">
        <v>1</v>
      </c>
      <c r="H52" s="105" t="s">
        <v>111</v>
      </c>
      <c r="I52" s="27"/>
    </row>
    <row r="53" spans="1:9" ht="34.5" x14ac:dyDescent="0.35">
      <c r="A53" s="106">
        <v>36</v>
      </c>
      <c r="B53" s="27" t="s">
        <v>188</v>
      </c>
      <c r="C53" s="27" t="s">
        <v>189</v>
      </c>
      <c r="D53" s="27">
        <v>37</v>
      </c>
      <c r="E53" s="112" t="s">
        <v>190</v>
      </c>
      <c r="F53" s="113">
        <v>2020</v>
      </c>
      <c r="G53" s="113">
        <v>1</v>
      </c>
      <c r="H53" s="105" t="s">
        <v>111</v>
      </c>
      <c r="I53" s="27"/>
    </row>
    <row r="54" spans="1:9" ht="34.5" x14ac:dyDescent="0.35">
      <c r="A54" s="106">
        <v>37</v>
      </c>
      <c r="B54" s="27" t="s">
        <v>188</v>
      </c>
      <c r="C54" s="27" t="s">
        <v>189</v>
      </c>
      <c r="D54" s="27">
        <v>38</v>
      </c>
      <c r="E54" s="112" t="s">
        <v>190</v>
      </c>
      <c r="F54" s="113">
        <v>2020</v>
      </c>
      <c r="G54" s="113">
        <v>1</v>
      </c>
      <c r="H54" s="105" t="s">
        <v>111</v>
      </c>
      <c r="I54" s="27"/>
    </row>
    <row r="55" spans="1:9" ht="34.5" x14ac:dyDescent="0.35">
      <c r="A55" s="106">
        <v>38</v>
      </c>
      <c r="B55" s="27" t="s">
        <v>188</v>
      </c>
      <c r="C55" s="27" t="s">
        <v>189</v>
      </c>
      <c r="D55" s="27">
        <v>39</v>
      </c>
      <c r="E55" s="112" t="s">
        <v>190</v>
      </c>
      <c r="F55" s="113">
        <v>2020</v>
      </c>
      <c r="G55" s="113">
        <v>1</v>
      </c>
      <c r="H55" s="105" t="s">
        <v>111</v>
      </c>
      <c r="I55" s="27"/>
    </row>
    <row r="56" spans="1:9" ht="34.5" x14ac:dyDescent="0.35">
      <c r="A56" s="106">
        <v>39</v>
      </c>
      <c r="B56" s="27" t="s">
        <v>191</v>
      </c>
      <c r="C56" s="27" t="s">
        <v>192</v>
      </c>
      <c r="D56" s="27">
        <v>48</v>
      </c>
      <c r="E56" s="112" t="s">
        <v>193</v>
      </c>
      <c r="F56" s="113">
        <v>2024</v>
      </c>
      <c r="G56" s="113">
        <v>1</v>
      </c>
      <c r="H56" s="105" t="s">
        <v>111</v>
      </c>
      <c r="I56" s="27"/>
    </row>
    <row r="57" spans="1:9" ht="34.5" x14ac:dyDescent="0.35">
      <c r="A57" s="106">
        <v>40</v>
      </c>
      <c r="B57" s="27" t="s">
        <v>191</v>
      </c>
      <c r="C57" s="27" t="s">
        <v>192</v>
      </c>
      <c r="D57" s="27">
        <v>49</v>
      </c>
      <c r="E57" s="112" t="s">
        <v>193</v>
      </c>
      <c r="F57" s="113">
        <v>2024</v>
      </c>
      <c r="G57" s="113">
        <v>1</v>
      </c>
      <c r="H57" s="105" t="s">
        <v>111</v>
      </c>
      <c r="I57" s="27"/>
    </row>
    <row r="58" spans="1:9" ht="34.5" x14ac:dyDescent="0.35">
      <c r="A58" s="106">
        <v>41</v>
      </c>
      <c r="B58" s="27" t="s">
        <v>191</v>
      </c>
      <c r="C58" s="27" t="s">
        <v>192</v>
      </c>
      <c r="D58" s="27">
        <v>50</v>
      </c>
      <c r="E58" s="112" t="s">
        <v>193</v>
      </c>
      <c r="F58" s="113">
        <v>2024</v>
      </c>
      <c r="G58" s="113">
        <v>1</v>
      </c>
      <c r="H58" s="105" t="s">
        <v>111</v>
      </c>
      <c r="I58" s="27"/>
    </row>
    <row r="59" spans="1:9" ht="34.5" x14ac:dyDescent="0.35">
      <c r="A59" s="106">
        <v>42</v>
      </c>
      <c r="B59" s="27" t="s">
        <v>196</v>
      </c>
      <c r="C59" s="27" t="s">
        <v>197</v>
      </c>
      <c r="D59" s="27">
        <v>4</v>
      </c>
      <c r="E59" s="112"/>
      <c r="F59" s="113">
        <v>2021</v>
      </c>
      <c r="G59" s="113">
        <v>1</v>
      </c>
      <c r="H59" s="105" t="s">
        <v>111</v>
      </c>
      <c r="I59" s="27"/>
    </row>
    <row r="60" spans="1:9" ht="34.5" x14ac:dyDescent="0.35">
      <c r="A60" s="106">
        <v>43</v>
      </c>
      <c r="B60" s="27" t="s">
        <v>196</v>
      </c>
      <c r="C60" s="27" t="s">
        <v>197</v>
      </c>
      <c r="D60" s="27">
        <v>5</v>
      </c>
      <c r="E60" s="112"/>
      <c r="F60" s="113">
        <v>2021</v>
      </c>
      <c r="G60" s="113">
        <v>1</v>
      </c>
      <c r="H60" s="105" t="s">
        <v>111</v>
      </c>
      <c r="I60" s="27"/>
    </row>
    <row r="61" spans="1:9" ht="34.5" x14ac:dyDescent="0.35">
      <c r="A61" s="106">
        <v>44</v>
      </c>
      <c r="B61" s="27" t="s">
        <v>196</v>
      </c>
      <c r="C61" s="27" t="s">
        <v>197</v>
      </c>
      <c r="D61" s="27">
        <v>6</v>
      </c>
      <c r="E61" s="112"/>
      <c r="F61" s="113">
        <v>2021</v>
      </c>
      <c r="G61" s="113">
        <v>1</v>
      </c>
      <c r="H61" s="105" t="s">
        <v>111</v>
      </c>
      <c r="I61" s="27"/>
    </row>
    <row r="62" spans="1:9" ht="34.5" x14ac:dyDescent="0.35">
      <c r="A62" s="106">
        <v>45</v>
      </c>
      <c r="B62" s="27" t="s">
        <v>196</v>
      </c>
      <c r="C62" s="27" t="s">
        <v>197</v>
      </c>
      <c r="D62" s="27">
        <v>7</v>
      </c>
      <c r="E62" s="112"/>
      <c r="F62" s="113">
        <v>2021</v>
      </c>
      <c r="G62" s="113">
        <v>1</v>
      </c>
      <c r="H62" s="105" t="s">
        <v>111</v>
      </c>
      <c r="I62" s="27"/>
    </row>
    <row r="63" spans="1:9" ht="34.5" x14ac:dyDescent="0.35">
      <c r="A63" s="106">
        <v>46</v>
      </c>
      <c r="B63" s="27" t="s">
        <v>196</v>
      </c>
      <c r="C63" s="27" t="s">
        <v>197</v>
      </c>
      <c r="D63" s="27">
        <v>8</v>
      </c>
      <c r="E63" s="112"/>
      <c r="F63" s="113">
        <v>2021</v>
      </c>
      <c r="G63" s="113">
        <v>1</v>
      </c>
      <c r="H63" s="105" t="s">
        <v>111</v>
      </c>
      <c r="I63" s="27"/>
    </row>
    <row r="64" spans="1:9" ht="34.5" x14ac:dyDescent="0.35">
      <c r="A64" s="106">
        <v>47</v>
      </c>
      <c r="B64" s="27" t="s">
        <v>198</v>
      </c>
      <c r="C64" s="27" t="s">
        <v>199</v>
      </c>
      <c r="D64" s="27">
        <v>5</v>
      </c>
      <c r="E64" s="112" t="s">
        <v>200</v>
      </c>
      <c r="F64" s="113">
        <v>2021</v>
      </c>
      <c r="G64" s="113">
        <v>1</v>
      </c>
      <c r="H64" s="105" t="s">
        <v>111</v>
      </c>
      <c r="I64" s="27"/>
    </row>
    <row r="65" spans="1:9" ht="34.5" x14ac:dyDescent="0.35">
      <c r="A65" s="106">
        <v>48</v>
      </c>
      <c r="B65" s="27" t="s">
        <v>202</v>
      </c>
      <c r="C65" s="27" t="s">
        <v>203</v>
      </c>
      <c r="D65" s="27">
        <v>13</v>
      </c>
      <c r="E65" s="112" t="s">
        <v>204</v>
      </c>
      <c r="F65" s="113">
        <v>2021</v>
      </c>
      <c r="G65" s="113">
        <v>1</v>
      </c>
      <c r="H65" s="105" t="s">
        <v>111</v>
      </c>
      <c r="I65" s="27"/>
    </row>
    <row r="66" spans="1:9" ht="34.5" x14ac:dyDescent="0.35">
      <c r="A66" s="106">
        <v>49</v>
      </c>
      <c r="B66" s="27" t="s">
        <v>205</v>
      </c>
      <c r="C66" s="27" t="s">
        <v>206</v>
      </c>
      <c r="D66" s="27">
        <v>6</v>
      </c>
      <c r="E66" s="112" t="s">
        <v>207</v>
      </c>
      <c r="F66" s="113">
        <v>2022</v>
      </c>
      <c r="G66" s="113">
        <v>1</v>
      </c>
      <c r="H66" s="105" t="s">
        <v>111</v>
      </c>
      <c r="I66" s="27"/>
    </row>
    <row r="67" spans="1:9" ht="34.5" x14ac:dyDescent="0.35">
      <c r="A67" s="106">
        <v>50</v>
      </c>
      <c r="B67" s="27" t="s">
        <v>205</v>
      </c>
      <c r="C67" s="27" t="s">
        <v>206</v>
      </c>
      <c r="D67" s="27">
        <v>7</v>
      </c>
      <c r="E67" s="112" t="s">
        <v>207</v>
      </c>
      <c r="F67" s="113">
        <v>2022</v>
      </c>
      <c r="G67" s="113">
        <v>1</v>
      </c>
      <c r="H67" s="105" t="s">
        <v>111</v>
      </c>
      <c r="I67" s="27"/>
    </row>
    <row r="68" spans="1:9" ht="34.5" x14ac:dyDescent="0.35">
      <c r="A68" s="106">
        <v>51</v>
      </c>
      <c r="B68" s="27" t="s">
        <v>208</v>
      </c>
      <c r="C68" s="27" t="s">
        <v>209</v>
      </c>
      <c r="D68" s="27">
        <v>37</v>
      </c>
      <c r="E68" s="112" t="s">
        <v>210</v>
      </c>
      <c r="F68" s="113">
        <v>2022</v>
      </c>
      <c r="G68" s="113">
        <v>1</v>
      </c>
      <c r="H68" s="105" t="s">
        <v>111</v>
      </c>
      <c r="I68" s="27"/>
    </row>
    <row r="69" spans="1:9" ht="34.5" x14ac:dyDescent="0.35">
      <c r="A69" s="106">
        <v>52</v>
      </c>
      <c r="B69" s="27" t="s">
        <v>208</v>
      </c>
      <c r="C69" s="27" t="s">
        <v>209</v>
      </c>
      <c r="D69" s="27">
        <v>38</v>
      </c>
      <c r="E69" s="112" t="s">
        <v>210</v>
      </c>
      <c r="F69" s="113">
        <v>2022</v>
      </c>
      <c r="G69" s="113">
        <v>1</v>
      </c>
      <c r="H69" s="105" t="s">
        <v>111</v>
      </c>
      <c r="I69" s="27"/>
    </row>
    <row r="70" spans="1:9" ht="34.5" x14ac:dyDescent="0.35">
      <c r="A70" s="106">
        <v>53</v>
      </c>
      <c r="B70" s="27" t="s">
        <v>208</v>
      </c>
      <c r="C70" s="27" t="s">
        <v>209</v>
      </c>
      <c r="D70" s="27">
        <v>39</v>
      </c>
      <c r="E70" s="112" t="s">
        <v>210</v>
      </c>
      <c r="F70" s="113">
        <v>2022</v>
      </c>
      <c r="G70" s="113">
        <v>1</v>
      </c>
      <c r="H70" s="105" t="s">
        <v>111</v>
      </c>
      <c r="I70" s="27"/>
    </row>
    <row r="71" spans="1:9" ht="34.5" x14ac:dyDescent="0.35">
      <c r="A71" s="106">
        <v>54</v>
      </c>
      <c r="B71" s="27" t="s">
        <v>208</v>
      </c>
      <c r="C71" s="27" t="s">
        <v>209</v>
      </c>
      <c r="D71" s="27">
        <v>40</v>
      </c>
      <c r="E71" s="112" t="s">
        <v>210</v>
      </c>
      <c r="F71" s="113">
        <v>2022</v>
      </c>
      <c r="G71" s="113">
        <v>1</v>
      </c>
      <c r="H71" s="105" t="s">
        <v>111</v>
      </c>
      <c r="I71" s="27"/>
    </row>
    <row r="72" spans="1:9" ht="34.5" x14ac:dyDescent="0.35">
      <c r="A72" s="106">
        <v>55</v>
      </c>
      <c r="B72" s="27" t="s">
        <v>208</v>
      </c>
      <c r="C72" s="27" t="s">
        <v>209</v>
      </c>
      <c r="D72" s="27">
        <v>41</v>
      </c>
      <c r="E72" s="112" t="s">
        <v>210</v>
      </c>
      <c r="F72" s="113">
        <v>2022</v>
      </c>
      <c r="G72" s="113">
        <v>1</v>
      </c>
      <c r="H72" s="105" t="s">
        <v>111</v>
      </c>
      <c r="I72" s="27"/>
    </row>
    <row r="73" spans="1:9" ht="34.5" x14ac:dyDescent="0.35">
      <c r="A73" s="106">
        <v>56</v>
      </c>
      <c r="B73" s="27" t="s">
        <v>208</v>
      </c>
      <c r="C73" s="27" t="s">
        <v>209</v>
      </c>
      <c r="D73" s="27">
        <v>42</v>
      </c>
      <c r="E73" s="112" t="s">
        <v>210</v>
      </c>
      <c r="F73" s="113">
        <v>2022</v>
      </c>
      <c r="G73" s="113">
        <v>1</v>
      </c>
      <c r="H73" s="105" t="s">
        <v>111</v>
      </c>
      <c r="I73" s="27"/>
    </row>
    <row r="74" spans="1:9" ht="34.5" x14ac:dyDescent="0.35">
      <c r="A74" s="106">
        <v>57</v>
      </c>
      <c r="B74" s="27" t="s">
        <v>211</v>
      </c>
      <c r="C74" s="27" t="s">
        <v>212</v>
      </c>
      <c r="D74" s="27">
        <v>2</v>
      </c>
      <c r="E74" s="112"/>
      <c r="F74" s="113">
        <v>2022</v>
      </c>
      <c r="G74" s="113">
        <v>1</v>
      </c>
      <c r="H74" s="105" t="s">
        <v>111</v>
      </c>
      <c r="I74" s="27"/>
    </row>
    <row r="75" spans="1:9" ht="34.5" x14ac:dyDescent="0.35">
      <c r="A75" s="106">
        <v>58</v>
      </c>
      <c r="B75" s="27" t="s">
        <v>213</v>
      </c>
      <c r="C75" s="27" t="s">
        <v>214</v>
      </c>
      <c r="D75" s="27">
        <v>15</v>
      </c>
      <c r="E75" s="112" t="s">
        <v>215</v>
      </c>
      <c r="F75" s="113">
        <v>2022</v>
      </c>
      <c r="G75" s="113">
        <v>1</v>
      </c>
      <c r="H75" s="105" t="s">
        <v>111</v>
      </c>
      <c r="I75" s="27"/>
    </row>
    <row r="76" spans="1:9" ht="34.5" x14ac:dyDescent="0.35">
      <c r="A76" s="106">
        <v>59</v>
      </c>
      <c r="B76" s="27" t="s">
        <v>213</v>
      </c>
      <c r="C76" s="27" t="s">
        <v>214</v>
      </c>
      <c r="D76" s="27">
        <v>16</v>
      </c>
      <c r="E76" s="112" t="s">
        <v>215</v>
      </c>
      <c r="F76" s="113">
        <v>2022</v>
      </c>
      <c r="G76" s="113">
        <v>1</v>
      </c>
      <c r="H76" s="105" t="s">
        <v>111</v>
      </c>
      <c r="I76" s="27"/>
    </row>
    <row r="77" spans="1:9" ht="34.5" x14ac:dyDescent="0.35">
      <c r="A77" s="106">
        <v>60</v>
      </c>
      <c r="B77" s="27" t="s">
        <v>213</v>
      </c>
      <c r="C77" s="27" t="s">
        <v>214</v>
      </c>
      <c r="D77" s="27">
        <v>17</v>
      </c>
      <c r="E77" s="112" t="s">
        <v>215</v>
      </c>
      <c r="F77" s="113">
        <v>2022</v>
      </c>
      <c r="G77" s="113">
        <v>1</v>
      </c>
      <c r="H77" s="105" t="s">
        <v>111</v>
      </c>
      <c r="I77" s="27"/>
    </row>
    <row r="78" spans="1:9" ht="34.5" x14ac:dyDescent="0.35">
      <c r="A78" s="106">
        <v>61</v>
      </c>
      <c r="B78" s="27" t="s">
        <v>216</v>
      </c>
      <c r="C78" s="27" t="s">
        <v>217</v>
      </c>
      <c r="D78" s="27">
        <v>6</v>
      </c>
      <c r="E78" s="112" t="s">
        <v>218</v>
      </c>
      <c r="F78" s="113">
        <v>2022</v>
      </c>
      <c r="G78" s="113">
        <v>1</v>
      </c>
      <c r="H78" s="105" t="s">
        <v>111</v>
      </c>
      <c r="I78" s="27"/>
    </row>
    <row r="79" spans="1:9" ht="34.5" x14ac:dyDescent="0.35">
      <c r="A79" s="106">
        <v>62</v>
      </c>
      <c r="B79" s="27" t="s">
        <v>221</v>
      </c>
      <c r="C79" s="27" t="s">
        <v>222</v>
      </c>
      <c r="D79" s="27">
        <v>1</v>
      </c>
      <c r="E79" s="112" t="s">
        <v>223</v>
      </c>
      <c r="F79" s="113">
        <v>2022</v>
      </c>
      <c r="G79" s="113">
        <v>1</v>
      </c>
      <c r="H79" s="105" t="s">
        <v>111</v>
      </c>
      <c r="I79" s="27"/>
    </row>
    <row r="80" spans="1:9" ht="34.5" x14ac:dyDescent="0.35">
      <c r="A80" s="106">
        <v>63</v>
      </c>
      <c r="B80" s="27" t="s">
        <v>224</v>
      </c>
      <c r="C80" s="27" t="s">
        <v>225</v>
      </c>
      <c r="D80" s="27">
        <v>8</v>
      </c>
      <c r="E80" s="112" t="s">
        <v>226</v>
      </c>
      <c r="F80" s="113">
        <v>2022</v>
      </c>
      <c r="G80" s="113">
        <v>1</v>
      </c>
      <c r="H80" s="105" t="s">
        <v>111</v>
      </c>
      <c r="I80" s="27"/>
    </row>
    <row r="81" spans="1:9" ht="34.5" x14ac:dyDescent="0.35">
      <c r="A81" s="106">
        <v>64</v>
      </c>
      <c r="B81" s="27" t="s">
        <v>202</v>
      </c>
      <c r="C81" s="27" t="s">
        <v>227</v>
      </c>
      <c r="D81" s="27">
        <v>18</v>
      </c>
      <c r="E81" s="112" t="s">
        <v>228</v>
      </c>
      <c r="F81" s="113">
        <v>2022</v>
      </c>
      <c r="G81" s="113">
        <v>1</v>
      </c>
      <c r="H81" s="105" t="s">
        <v>111</v>
      </c>
      <c r="I81" s="27"/>
    </row>
    <row r="82" spans="1:9" ht="34.5" x14ac:dyDescent="0.35">
      <c r="A82" s="106">
        <v>65</v>
      </c>
      <c r="B82" s="27" t="s">
        <v>202</v>
      </c>
      <c r="C82" s="27" t="s">
        <v>227</v>
      </c>
      <c r="D82" s="27">
        <v>19</v>
      </c>
      <c r="E82" s="112" t="s">
        <v>228</v>
      </c>
      <c r="F82" s="113">
        <v>2022</v>
      </c>
      <c r="G82" s="113">
        <v>1</v>
      </c>
      <c r="H82" s="105" t="s">
        <v>111</v>
      </c>
      <c r="I82" s="27"/>
    </row>
    <row r="83" spans="1:9" ht="34.5" x14ac:dyDescent="0.35">
      <c r="A83" s="106">
        <v>66</v>
      </c>
      <c r="B83" s="27" t="s">
        <v>202</v>
      </c>
      <c r="C83" s="27" t="s">
        <v>227</v>
      </c>
      <c r="D83" s="27">
        <v>20</v>
      </c>
      <c r="E83" s="112" t="s">
        <v>228</v>
      </c>
      <c r="F83" s="113">
        <v>2022</v>
      </c>
      <c r="G83" s="113">
        <v>1</v>
      </c>
      <c r="H83" s="105" t="s">
        <v>111</v>
      </c>
      <c r="I83" s="27"/>
    </row>
    <row r="84" spans="1:9" ht="34.5" x14ac:dyDescent="0.35">
      <c r="A84" s="106">
        <v>67</v>
      </c>
      <c r="B84" s="27" t="s">
        <v>229</v>
      </c>
      <c r="C84" s="27" t="s">
        <v>230</v>
      </c>
      <c r="D84" s="27">
        <v>2</v>
      </c>
      <c r="E84" s="112" t="s">
        <v>210</v>
      </c>
      <c r="F84" s="113">
        <v>2022</v>
      </c>
      <c r="G84" s="113">
        <v>1</v>
      </c>
      <c r="H84" s="105" t="s">
        <v>111</v>
      </c>
      <c r="I84" s="27"/>
    </row>
    <row r="85" spans="1:9" ht="34.5" x14ac:dyDescent="0.35">
      <c r="A85" s="106">
        <v>68</v>
      </c>
      <c r="B85" s="27" t="s">
        <v>231</v>
      </c>
      <c r="C85" s="27" t="s">
        <v>232</v>
      </c>
      <c r="D85" s="27">
        <v>2</v>
      </c>
      <c r="E85" s="112" t="s">
        <v>233</v>
      </c>
      <c r="F85" s="113">
        <v>2022</v>
      </c>
      <c r="G85" s="113">
        <v>1</v>
      </c>
      <c r="H85" s="105" t="s">
        <v>111</v>
      </c>
      <c r="I85" s="27"/>
    </row>
    <row r="86" spans="1:9" ht="34.5" x14ac:dyDescent="0.35">
      <c r="A86" s="106">
        <v>69</v>
      </c>
      <c r="B86" s="27" t="s">
        <v>234</v>
      </c>
      <c r="C86" s="27" t="s">
        <v>235</v>
      </c>
      <c r="D86" s="27">
        <v>2</v>
      </c>
      <c r="E86" s="112" t="s">
        <v>236</v>
      </c>
      <c r="F86" s="113">
        <v>2022</v>
      </c>
      <c r="G86" s="113">
        <v>1</v>
      </c>
      <c r="H86" s="105" t="s">
        <v>111</v>
      </c>
      <c r="I86" s="27"/>
    </row>
    <row r="87" spans="1:9" ht="34.5" x14ac:dyDescent="0.35">
      <c r="A87" s="106">
        <v>70</v>
      </c>
      <c r="B87" s="27" t="s">
        <v>234</v>
      </c>
      <c r="C87" s="27" t="s">
        <v>235</v>
      </c>
      <c r="D87" s="27">
        <v>3</v>
      </c>
      <c r="E87" s="112" t="s">
        <v>236</v>
      </c>
      <c r="F87" s="113">
        <v>2022</v>
      </c>
      <c r="G87" s="113">
        <v>1</v>
      </c>
      <c r="H87" s="105" t="s">
        <v>111</v>
      </c>
      <c r="I87" s="27"/>
    </row>
    <row r="88" spans="1:9" ht="34.5" x14ac:dyDescent="0.35">
      <c r="A88" s="106">
        <v>71</v>
      </c>
      <c r="B88" s="27" t="s">
        <v>234</v>
      </c>
      <c r="C88" s="27" t="s">
        <v>235</v>
      </c>
      <c r="D88" s="27">
        <v>4</v>
      </c>
      <c r="E88" s="112" t="s">
        <v>236</v>
      </c>
      <c r="F88" s="113">
        <v>2022</v>
      </c>
      <c r="G88" s="113">
        <v>1</v>
      </c>
      <c r="H88" s="105" t="s">
        <v>111</v>
      </c>
      <c r="I88" s="27"/>
    </row>
    <row r="89" spans="1:9" ht="34.5" x14ac:dyDescent="0.35">
      <c r="A89" s="106">
        <v>72</v>
      </c>
      <c r="B89" s="27" t="s">
        <v>234</v>
      </c>
      <c r="C89" s="27" t="s">
        <v>235</v>
      </c>
      <c r="D89" s="27">
        <v>15</v>
      </c>
      <c r="E89" s="112" t="s">
        <v>236</v>
      </c>
      <c r="F89" s="113">
        <v>2022</v>
      </c>
      <c r="G89" s="113">
        <v>1</v>
      </c>
      <c r="H89" s="105" t="s">
        <v>111</v>
      </c>
      <c r="I89" s="27"/>
    </row>
    <row r="90" spans="1:9" ht="34.5" x14ac:dyDescent="0.35">
      <c r="A90" s="106">
        <v>73</v>
      </c>
      <c r="B90" s="27" t="s">
        <v>237</v>
      </c>
      <c r="C90" s="27" t="s">
        <v>238</v>
      </c>
      <c r="D90" s="27">
        <v>2</v>
      </c>
      <c r="E90" s="112" t="s">
        <v>239</v>
      </c>
      <c r="F90" s="113">
        <v>2022</v>
      </c>
      <c r="G90" s="113">
        <v>1</v>
      </c>
      <c r="H90" s="105" t="s">
        <v>111</v>
      </c>
      <c r="I90" s="27"/>
    </row>
    <row r="91" spans="1:9" ht="34.5" x14ac:dyDescent="0.35">
      <c r="A91" s="106">
        <v>74</v>
      </c>
      <c r="B91" s="27" t="s">
        <v>241</v>
      </c>
      <c r="C91" s="27" t="s">
        <v>242</v>
      </c>
      <c r="D91" s="27">
        <v>32</v>
      </c>
      <c r="E91" s="112" t="s">
        <v>243</v>
      </c>
      <c r="F91" s="113">
        <v>2023</v>
      </c>
      <c r="G91" s="113">
        <v>1</v>
      </c>
      <c r="H91" s="105" t="s">
        <v>111</v>
      </c>
      <c r="I91" s="27"/>
    </row>
    <row r="92" spans="1:9" ht="34.5" x14ac:dyDescent="0.35">
      <c r="A92" s="106">
        <v>75</v>
      </c>
      <c r="B92" s="27" t="s">
        <v>241</v>
      </c>
      <c r="C92" s="27" t="s">
        <v>242</v>
      </c>
      <c r="D92" s="27">
        <v>33</v>
      </c>
      <c r="E92" s="112" t="s">
        <v>243</v>
      </c>
      <c r="F92" s="113">
        <v>2023</v>
      </c>
      <c r="G92" s="113">
        <v>1</v>
      </c>
      <c r="H92" s="105" t="s">
        <v>111</v>
      </c>
      <c r="I92" s="27"/>
    </row>
    <row r="93" spans="1:9" ht="34.5" x14ac:dyDescent="0.35">
      <c r="A93" s="106">
        <v>76</v>
      </c>
      <c r="B93" s="27" t="s">
        <v>241</v>
      </c>
      <c r="C93" s="27" t="s">
        <v>242</v>
      </c>
      <c r="D93" s="27">
        <v>34</v>
      </c>
      <c r="E93" s="112" t="s">
        <v>243</v>
      </c>
      <c r="F93" s="113">
        <v>2023</v>
      </c>
      <c r="G93" s="113">
        <v>1</v>
      </c>
      <c r="H93" s="105" t="s">
        <v>111</v>
      </c>
      <c r="I93" s="27"/>
    </row>
    <row r="94" spans="1:9" ht="34.5" x14ac:dyDescent="0.35">
      <c r="A94" s="106">
        <v>77</v>
      </c>
      <c r="B94" s="27" t="s">
        <v>241</v>
      </c>
      <c r="C94" s="27" t="s">
        <v>242</v>
      </c>
      <c r="D94" s="27">
        <v>35</v>
      </c>
      <c r="E94" s="112" t="s">
        <v>243</v>
      </c>
      <c r="F94" s="113">
        <v>2023</v>
      </c>
      <c r="G94" s="113">
        <v>1</v>
      </c>
      <c r="H94" s="105" t="s">
        <v>111</v>
      </c>
      <c r="I94" s="27"/>
    </row>
    <row r="95" spans="1:9" ht="34.5" x14ac:dyDescent="0.35">
      <c r="A95" s="106">
        <v>78</v>
      </c>
      <c r="B95" s="27" t="s">
        <v>241</v>
      </c>
      <c r="C95" s="27" t="s">
        <v>242</v>
      </c>
      <c r="D95" s="27">
        <v>36</v>
      </c>
      <c r="E95" s="112" t="s">
        <v>243</v>
      </c>
      <c r="F95" s="113">
        <v>2023</v>
      </c>
      <c r="G95" s="113">
        <v>1</v>
      </c>
      <c r="H95" s="105" t="s">
        <v>111</v>
      </c>
      <c r="I95" s="27"/>
    </row>
    <row r="96" spans="1:9" ht="34.5" x14ac:dyDescent="0.35">
      <c r="A96" s="106">
        <v>79</v>
      </c>
      <c r="B96" s="27" t="s">
        <v>196</v>
      </c>
      <c r="C96" s="27" t="s">
        <v>242</v>
      </c>
      <c r="D96" s="27">
        <v>69</v>
      </c>
      <c r="E96" s="112" t="s">
        <v>244</v>
      </c>
      <c r="F96" s="113">
        <v>2023</v>
      </c>
      <c r="G96" s="113">
        <v>1</v>
      </c>
      <c r="H96" s="105" t="s">
        <v>111</v>
      </c>
      <c r="I96" s="27"/>
    </row>
    <row r="97" spans="1:9" ht="34.5" x14ac:dyDescent="0.35">
      <c r="A97" s="106">
        <v>80</v>
      </c>
      <c r="B97" s="27" t="s">
        <v>196</v>
      </c>
      <c r="C97" s="27" t="s">
        <v>242</v>
      </c>
      <c r="D97" s="27">
        <v>70</v>
      </c>
      <c r="E97" s="112" t="s">
        <v>244</v>
      </c>
      <c r="F97" s="113">
        <v>2023</v>
      </c>
      <c r="G97" s="113">
        <v>1</v>
      </c>
      <c r="H97" s="105" t="s">
        <v>111</v>
      </c>
      <c r="I97" s="27"/>
    </row>
    <row r="98" spans="1:9" ht="34.5" x14ac:dyDescent="0.35">
      <c r="A98" s="106">
        <v>81</v>
      </c>
      <c r="B98" s="27" t="s">
        <v>196</v>
      </c>
      <c r="C98" s="27" t="s">
        <v>242</v>
      </c>
      <c r="D98" s="27">
        <v>71</v>
      </c>
      <c r="E98" s="112" t="s">
        <v>244</v>
      </c>
      <c r="F98" s="113">
        <v>2023</v>
      </c>
      <c r="G98" s="113">
        <v>1</v>
      </c>
      <c r="H98" s="105" t="s">
        <v>111</v>
      </c>
      <c r="I98" s="27"/>
    </row>
    <row r="99" spans="1:9" ht="34.5" x14ac:dyDescent="0.35">
      <c r="A99" s="106">
        <v>82</v>
      </c>
      <c r="B99" s="27" t="s">
        <v>246</v>
      </c>
      <c r="C99" s="27" t="s">
        <v>247</v>
      </c>
      <c r="D99" s="27">
        <v>4</v>
      </c>
      <c r="E99" s="112" t="s">
        <v>248</v>
      </c>
      <c r="F99" s="113">
        <v>2023</v>
      </c>
      <c r="G99" s="113">
        <v>1</v>
      </c>
      <c r="H99" s="105" t="s">
        <v>111</v>
      </c>
      <c r="I99" s="27"/>
    </row>
    <row r="100" spans="1:9" ht="34.5" x14ac:dyDescent="0.35">
      <c r="A100" s="106">
        <v>83</v>
      </c>
      <c r="B100" s="27" t="s">
        <v>250</v>
      </c>
      <c r="C100" s="27" t="s">
        <v>251</v>
      </c>
      <c r="D100" s="27">
        <v>3</v>
      </c>
      <c r="E100" s="112" t="s">
        <v>252</v>
      </c>
      <c r="F100" s="113">
        <v>2023</v>
      </c>
      <c r="G100" s="113">
        <v>1</v>
      </c>
      <c r="H100" s="105" t="s">
        <v>111</v>
      </c>
      <c r="I100" s="27"/>
    </row>
    <row r="101" spans="1:9" ht="34.5" x14ac:dyDescent="0.35">
      <c r="A101" s="106">
        <v>84</v>
      </c>
      <c r="B101" s="27" t="s">
        <v>253</v>
      </c>
      <c r="C101" s="27" t="s">
        <v>254</v>
      </c>
      <c r="D101" s="27">
        <v>1</v>
      </c>
      <c r="E101" s="112" t="s">
        <v>255</v>
      </c>
      <c r="F101" s="113">
        <v>2023</v>
      </c>
      <c r="G101" s="113">
        <v>1</v>
      </c>
      <c r="H101" s="105" t="s">
        <v>111</v>
      </c>
      <c r="I101" s="27"/>
    </row>
    <row r="102" spans="1:9" ht="34.5" x14ac:dyDescent="0.35">
      <c r="A102" s="106">
        <v>85</v>
      </c>
      <c r="B102" s="27" t="s">
        <v>256</v>
      </c>
      <c r="C102" s="27" t="s">
        <v>257</v>
      </c>
      <c r="D102" s="27">
        <v>9</v>
      </c>
      <c r="E102" s="112" t="s">
        <v>258</v>
      </c>
      <c r="F102" s="113">
        <v>2023</v>
      </c>
      <c r="G102" s="113">
        <v>1</v>
      </c>
      <c r="H102" s="105" t="s">
        <v>111</v>
      </c>
      <c r="I102" s="27"/>
    </row>
    <row r="103" spans="1:9" ht="34.5" x14ac:dyDescent="0.35">
      <c r="A103" s="106">
        <v>86</v>
      </c>
      <c r="B103" s="27" t="s">
        <v>256</v>
      </c>
      <c r="C103" s="27" t="s">
        <v>257</v>
      </c>
      <c r="D103" s="27">
        <v>10</v>
      </c>
      <c r="E103" s="112" t="s">
        <v>258</v>
      </c>
      <c r="F103" s="113">
        <v>2023</v>
      </c>
      <c r="G103" s="113">
        <v>1</v>
      </c>
      <c r="H103" s="105" t="s">
        <v>111</v>
      </c>
      <c r="I103" s="27"/>
    </row>
    <row r="104" spans="1:9" ht="34.5" x14ac:dyDescent="0.35">
      <c r="A104" s="106">
        <v>87</v>
      </c>
      <c r="B104" s="27" t="s">
        <v>259</v>
      </c>
      <c r="C104" s="27" t="s">
        <v>260</v>
      </c>
      <c r="D104" s="27">
        <v>7</v>
      </c>
      <c r="E104" s="112" t="s">
        <v>261</v>
      </c>
      <c r="F104" s="113">
        <v>2023</v>
      </c>
      <c r="G104" s="113">
        <v>1</v>
      </c>
      <c r="H104" s="105" t="s">
        <v>111</v>
      </c>
      <c r="I104" s="27"/>
    </row>
    <row r="105" spans="1:9" ht="34.5" x14ac:dyDescent="0.35">
      <c r="A105" s="106">
        <v>88</v>
      </c>
      <c r="B105" s="27" t="s">
        <v>259</v>
      </c>
      <c r="C105" s="27" t="s">
        <v>260</v>
      </c>
      <c r="D105" s="27">
        <v>8</v>
      </c>
      <c r="E105" s="112" t="s">
        <v>261</v>
      </c>
      <c r="F105" s="113">
        <v>2023</v>
      </c>
      <c r="G105" s="113">
        <v>1</v>
      </c>
      <c r="H105" s="105" t="s">
        <v>111</v>
      </c>
      <c r="I105" s="27"/>
    </row>
    <row r="106" spans="1:9" ht="34.5" x14ac:dyDescent="0.35">
      <c r="A106" s="106">
        <v>89</v>
      </c>
      <c r="B106" s="27" t="s">
        <v>262</v>
      </c>
      <c r="C106" s="27" t="s">
        <v>263</v>
      </c>
      <c r="D106" s="27">
        <v>16</v>
      </c>
      <c r="E106" s="112" t="s">
        <v>264</v>
      </c>
      <c r="F106" s="113">
        <v>2024</v>
      </c>
      <c r="G106" s="113">
        <v>1</v>
      </c>
      <c r="H106" s="105" t="s">
        <v>111</v>
      </c>
      <c r="I106" s="27"/>
    </row>
    <row r="107" spans="1:9" ht="34.5" x14ac:dyDescent="0.35">
      <c r="A107" s="106">
        <v>90</v>
      </c>
      <c r="B107" s="27" t="s">
        <v>267</v>
      </c>
      <c r="C107" s="27" t="s">
        <v>268</v>
      </c>
      <c r="D107" s="27">
        <v>4</v>
      </c>
      <c r="E107" s="112" t="s">
        <v>269</v>
      </c>
      <c r="F107" s="113">
        <v>2024</v>
      </c>
      <c r="G107" s="113">
        <v>1</v>
      </c>
      <c r="H107" s="105" t="s">
        <v>111</v>
      </c>
      <c r="I107" s="27"/>
    </row>
    <row r="108" spans="1:9" ht="34.5" x14ac:dyDescent="0.35">
      <c r="A108" s="106">
        <v>91</v>
      </c>
      <c r="B108" s="27" t="s">
        <v>271</v>
      </c>
      <c r="C108" s="27" t="s">
        <v>272</v>
      </c>
      <c r="D108" s="27">
        <v>1</v>
      </c>
      <c r="E108" s="112" t="s">
        <v>139</v>
      </c>
      <c r="F108" s="113">
        <v>2024</v>
      </c>
      <c r="G108" s="113">
        <v>1</v>
      </c>
      <c r="H108" s="105" t="s">
        <v>111</v>
      </c>
      <c r="I108" s="27"/>
    </row>
    <row r="109" spans="1:9" ht="34.5" x14ac:dyDescent="0.35">
      <c r="A109" s="106">
        <v>92</v>
      </c>
      <c r="B109" s="27" t="s">
        <v>271</v>
      </c>
      <c r="C109" s="27" t="s">
        <v>272</v>
      </c>
      <c r="D109" s="27">
        <v>2</v>
      </c>
      <c r="E109" s="112" t="s">
        <v>139</v>
      </c>
      <c r="F109" s="113">
        <v>2024</v>
      </c>
      <c r="G109" s="113">
        <v>1</v>
      </c>
      <c r="H109" s="105" t="s">
        <v>111</v>
      </c>
      <c r="I109" s="27"/>
    </row>
    <row r="110" spans="1:9" ht="34.5" x14ac:dyDescent="0.35">
      <c r="A110" s="106">
        <v>93</v>
      </c>
      <c r="B110" s="27" t="s">
        <v>271</v>
      </c>
      <c r="C110" s="27" t="s">
        <v>272</v>
      </c>
      <c r="D110" s="27">
        <v>3</v>
      </c>
      <c r="E110" s="112" t="s">
        <v>139</v>
      </c>
      <c r="F110" s="113">
        <v>2024</v>
      </c>
      <c r="G110" s="113">
        <v>1</v>
      </c>
      <c r="H110" s="105" t="s">
        <v>111</v>
      </c>
      <c r="I110" s="27"/>
    </row>
    <row r="111" spans="1:9" ht="34.5" x14ac:dyDescent="0.35">
      <c r="A111" s="106">
        <v>94</v>
      </c>
      <c r="B111" s="27" t="s">
        <v>271</v>
      </c>
      <c r="C111" s="27" t="s">
        <v>272</v>
      </c>
      <c r="D111" s="27">
        <v>5</v>
      </c>
      <c r="E111" s="112" t="s">
        <v>139</v>
      </c>
      <c r="F111" s="113">
        <v>2024</v>
      </c>
      <c r="G111" s="113">
        <v>1</v>
      </c>
      <c r="H111" s="105" t="s">
        <v>111</v>
      </c>
      <c r="I111" s="27"/>
    </row>
    <row r="112" spans="1:9" ht="34.5" x14ac:dyDescent="0.35">
      <c r="A112" s="106">
        <v>95</v>
      </c>
      <c r="B112" s="27" t="s">
        <v>271</v>
      </c>
      <c r="C112" s="27" t="s">
        <v>272</v>
      </c>
      <c r="D112" s="27">
        <v>7</v>
      </c>
      <c r="E112" s="112" t="s">
        <v>139</v>
      </c>
      <c r="F112" s="113">
        <v>2024</v>
      </c>
      <c r="G112" s="113">
        <v>1</v>
      </c>
      <c r="H112" s="105" t="s">
        <v>111</v>
      </c>
      <c r="I112" s="27"/>
    </row>
    <row r="113" spans="1:9" ht="34.5" x14ac:dyDescent="0.35">
      <c r="A113" s="106">
        <v>96</v>
      </c>
      <c r="B113" s="27" t="s">
        <v>271</v>
      </c>
      <c r="C113" s="27" t="s">
        <v>272</v>
      </c>
      <c r="D113" s="27">
        <v>8</v>
      </c>
      <c r="E113" s="112" t="s">
        <v>139</v>
      </c>
      <c r="F113" s="113">
        <v>2024</v>
      </c>
      <c r="G113" s="113">
        <v>1</v>
      </c>
      <c r="H113" s="105" t="s">
        <v>111</v>
      </c>
      <c r="I113" s="27"/>
    </row>
    <row r="114" spans="1:9" ht="34.5" x14ac:dyDescent="0.35">
      <c r="A114" s="106">
        <v>97</v>
      </c>
      <c r="B114" s="27" t="s">
        <v>271</v>
      </c>
      <c r="C114" s="27" t="s">
        <v>272</v>
      </c>
      <c r="D114" s="27">
        <v>9</v>
      </c>
      <c r="E114" s="112" t="s">
        <v>139</v>
      </c>
      <c r="F114" s="113">
        <v>2024</v>
      </c>
      <c r="G114" s="113">
        <v>1</v>
      </c>
      <c r="H114" s="105" t="s">
        <v>111</v>
      </c>
      <c r="I114" s="27"/>
    </row>
    <row r="115" spans="1:9" ht="34.5" x14ac:dyDescent="0.35">
      <c r="A115" s="106">
        <v>98</v>
      </c>
      <c r="B115" s="27" t="s">
        <v>271</v>
      </c>
      <c r="C115" s="27" t="s">
        <v>272</v>
      </c>
      <c r="D115" s="27">
        <v>10</v>
      </c>
      <c r="E115" s="112" t="s">
        <v>139</v>
      </c>
      <c r="F115" s="113">
        <v>2024</v>
      </c>
      <c r="G115" s="113">
        <v>1</v>
      </c>
      <c r="H115" s="105" t="s">
        <v>111</v>
      </c>
      <c r="I115" s="27"/>
    </row>
    <row r="116" spans="1:9" ht="34.5" x14ac:dyDescent="0.35">
      <c r="A116" s="106">
        <v>99</v>
      </c>
      <c r="B116" s="27" t="s">
        <v>237</v>
      </c>
      <c r="C116" s="27" t="s">
        <v>274</v>
      </c>
      <c r="D116" s="27">
        <v>1</v>
      </c>
      <c r="E116" s="112" t="s">
        <v>275</v>
      </c>
      <c r="F116" s="113">
        <v>2024</v>
      </c>
      <c r="G116" s="113">
        <v>1</v>
      </c>
      <c r="H116" s="105" t="s">
        <v>111</v>
      </c>
      <c r="I116" s="27"/>
    </row>
    <row r="117" spans="1:9" ht="34.5" x14ac:dyDescent="0.35">
      <c r="A117" s="106">
        <v>100</v>
      </c>
      <c r="B117" s="27" t="s">
        <v>278</v>
      </c>
      <c r="C117" s="27" t="s">
        <v>279</v>
      </c>
      <c r="D117" s="27">
        <v>12</v>
      </c>
      <c r="E117" s="112" t="s">
        <v>280</v>
      </c>
      <c r="F117" s="113">
        <v>2024</v>
      </c>
      <c r="G117" s="113">
        <v>1</v>
      </c>
      <c r="H117" s="105" t="s">
        <v>111</v>
      </c>
      <c r="I117" s="27"/>
    </row>
    <row r="118" spans="1:9" x14ac:dyDescent="0.35">
      <c r="A118" s="23"/>
      <c r="B118" s="24"/>
      <c r="C118" s="24"/>
      <c r="D118" s="24"/>
      <c r="E118" s="24"/>
      <c r="F118" s="26"/>
      <c r="G118" s="26"/>
      <c r="H118" s="105"/>
      <c r="I118" s="27"/>
    </row>
    <row r="120" spans="1:9" x14ac:dyDescent="0.35">
      <c r="C120" s="28" t="s">
        <v>23</v>
      </c>
      <c r="E120" s="28"/>
      <c r="H120" s="149" t="s">
        <v>120</v>
      </c>
      <c r="I120" s="149"/>
    </row>
    <row r="121" spans="1:9" x14ac:dyDescent="0.35">
      <c r="C121" s="28" t="s">
        <v>81</v>
      </c>
      <c r="E121" s="28"/>
      <c r="H121" s="149" t="s">
        <v>82</v>
      </c>
      <c r="I121" s="149"/>
    </row>
    <row r="125" spans="1:9" x14ac:dyDescent="0.35">
      <c r="C125" s="28" t="s">
        <v>133</v>
      </c>
      <c r="E125" s="28"/>
      <c r="H125" s="149" t="s">
        <v>135</v>
      </c>
      <c r="I125" s="149"/>
    </row>
    <row r="126" spans="1:9" x14ac:dyDescent="0.35">
      <c r="C126" s="28" t="s">
        <v>134</v>
      </c>
      <c r="E126" s="28"/>
      <c r="H126" s="149" t="s">
        <v>136</v>
      </c>
      <c r="I126" s="149"/>
    </row>
  </sheetData>
  <mergeCells count="12">
    <mergeCell ref="H121:I121"/>
    <mergeCell ref="H125:I125"/>
    <mergeCell ref="H126:I126"/>
    <mergeCell ref="F14:F16"/>
    <mergeCell ref="G14:G16"/>
    <mergeCell ref="H14:H16"/>
    <mergeCell ref="I14:I16"/>
    <mergeCell ref="A14:A16"/>
    <mergeCell ref="B14:B16"/>
    <mergeCell ref="C14:D15"/>
    <mergeCell ref="E14:E16"/>
    <mergeCell ref="H120:I120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70" orientation="landscape" horizontalDpi="360" verticalDpi="360" r:id="rId1"/>
  <headerFooter>
    <oddFooter>&amp;RHal &amp;P dari 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1C13E-1194-4E60-8704-F2FD545ED401}">
  <dimension ref="A2:M79"/>
  <sheetViews>
    <sheetView zoomScale="85" zoomScaleNormal="85" workbookViewId="0">
      <selection activeCell="C13" sqref="C13"/>
    </sheetView>
  </sheetViews>
  <sheetFormatPr defaultColWidth="9.1796875" defaultRowHeight="14.5" x14ac:dyDescent="0.35"/>
  <cols>
    <col min="1" max="1" width="4.7265625" style="28" customWidth="1"/>
    <col min="2" max="2" width="42.81640625" customWidth="1"/>
    <col min="3" max="3" width="26.453125" customWidth="1"/>
    <col min="4" max="4" width="9.54296875" style="28" customWidth="1"/>
    <col min="5" max="5" width="26.54296875" customWidth="1"/>
    <col min="6" max="6" width="10.7265625" style="28" customWidth="1"/>
    <col min="7" max="7" width="7.81640625" style="28" customWidth="1"/>
    <col min="8" max="8" width="21.453125" style="28" customWidth="1"/>
    <col min="9" max="9" width="12.453125" customWidth="1"/>
  </cols>
  <sheetData>
    <row r="2" spans="1:9" s="109" customFormat="1" ht="18.5" x14ac:dyDescent="0.45">
      <c r="A2" s="164" t="s">
        <v>73</v>
      </c>
      <c r="B2" s="164"/>
      <c r="C2" s="164"/>
      <c r="D2" s="164"/>
      <c r="E2" s="164"/>
      <c r="F2" s="164"/>
      <c r="G2" s="164"/>
      <c r="H2" s="164"/>
      <c r="I2" s="164"/>
    </row>
    <row r="3" spans="1:9" s="109" customFormat="1" ht="18.5" x14ac:dyDescent="0.45">
      <c r="A3" s="165" t="s">
        <v>119</v>
      </c>
      <c r="B3" s="165"/>
      <c r="C3" s="165"/>
      <c r="D3" s="165"/>
      <c r="E3" s="165"/>
      <c r="F3" s="165"/>
      <c r="G3" s="165"/>
      <c r="H3" s="165"/>
      <c r="I3" s="165"/>
    </row>
    <row r="5" spans="1:9" x14ac:dyDescent="0.35">
      <c r="B5" t="s">
        <v>3</v>
      </c>
      <c r="C5" t="s">
        <v>127</v>
      </c>
    </row>
    <row r="6" spans="1:9" x14ac:dyDescent="0.35">
      <c r="B6" t="s">
        <v>4</v>
      </c>
      <c r="C6" t="s">
        <v>127</v>
      </c>
    </row>
    <row r="7" spans="1:9" x14ac:dyDescent="0.35">
      <c r="B7" t="s">
        <v>5</v>
      </c>
      <c r="C7" t="s">
        <v>127</v>
      </c>
    </row>
    <row r="8" spans="1:9" x14ac:dyDescent="0.35">
      <c r="B8" t="s">
        <v>74</v>
      </c>
      <c r="C8" t="s">
        <v>128</v>
      </c>
    </row>
    <row r="9" spans="1:9" x14ac:dyDescent="0.35">
      <c r="B9" t="s">
        <v>75</v>
      </c>
      <c r="C9" t="s">
        <v>129</v>
      </c>
    </row>
    <row r="10" spans="1:9" x14ac:dyDescent="0.35">
      <c r="B10" t="s">
        <v>76</v>
      </c>
      <c r="C10" t="s">
        <v>325</v>
      </c>
    </row>
    <row r="11" spans="1:9" x14ac:dyDescent="0.35">
      <c r="B11" t="s">
        <v>323</v>
      </c>
      <c r="C11" t="s">
        <v>131</v>
      </c>
    </row>
    <row r="12" spans="1:9" x14ac:dyDescent="0.35">
      <c r="B12" t="s">
        <v>324</v>
      </c>
      <c r="C12" t="s">
        <v>132</v>
      </c>
      <c r="D12" s="55"/>
    </row>
    <row r="13" spans="1:9" ht="6.75" customHeight="1" x14ac:dyDescent="0.35"/>
    <row r="14" spans="1:9" s="101" customFormat="1" x14ac:dyDescent="0.35">
      <c r="A14" s="150" t="s">
        <v>6</v>
      </c>
      <c r="B14" s="151" t="s">
        <v>7</v>
      </c>
      <c r="C14" s="154" t="s">
        <v>8</v>
      </c>
      <c r="D14" s="155"/>
      <c r="E14" s="158" t="s">
        <v>78</v>
      </c>
      <c r="F14" s="158" t="s">
        <v>80</v>
      </c>
      <c r="G14" s="158" t="s">
        <v>22</v>
      </c>
      <c r="H14" s="158" t="s">
        <v>98</v>
      </c>
      <c r="I14" s="166" t="s">
        <v>16</v>
      </c>
    </row>
    <row r="15" spans="1:9" s="101" customFormat="1" x14ac:dyDescent="0.35">
      <c r="A15" s="150"/>
      <c r="B15" s="152"/>
      <c r="C15" s="156"/>
      <c r="D15" s="157"/>
      <c r="E15" s="159"/>
      <c r="F15" s="159"/>
      <c r="G15" s="159"/>
      <c r="H15" s="159"/>
      <c r="I15" s="166"/>
    </row>
    <row r="16" spans="1:9" s="101" customFormat="1" x14ac:dyDescent="0.35">
      <c r="A16" s="150"/>
      <c r="B16" s="153"/>
      <c r="C16" s="102" t="s">
        <v>19</v>
      </c>
      <c r="D16" s="103" t="s">
        <v>49</v>
      </c>
      <c r="E16" s="160"/>
      <c r="F16" s="160"/>
      <c r="G16" s="160"/>
      <c r="H16" s="160"/>
      <c r="I16" s="166"/>
    </row>
    <row r="17" spans="1:13" s="101" customFormat="1" x14ac:dyDescent="0.35">
      <c r="A17" s="111" t="s">
        <v>301</v>
      </c>
      <c r="B17" s="102" t="s">
        <v>302</v>
      </c>
      <c r="C17" s="102" t="s">
        <v>303</v>
      </c>
      <c r="D17" s="102" t="s">
        <v>304</v>
      </c>
      <c r="E17" s="102" t="s">
        <v>305</v>
      </c>
      <c r="F17" s="102" t="s">
        <v>306</v>
      </c>
      <c r="G17" s="102" t="s">
        <v>307</v>
      </c>
      <c r="H17" s="102" t="s">
        <v>308</v>
      </c>
      <c r="I17" s="110" t="s">
        <v>309</v>
      </c>
    </row>
    <row r="18" spans="1:13" s="120" customFormat="1" ht="23" x14ac:dyDescent="0.35">
      <c r="A18" s="129">
        <v>1</v>
      </c>
      <c r="B18" s="115" t="s">
        <v>137</v>
      </c>
      <c r="C18" s="115" t="s">
        <v>138</v>
      </c>
      <c r="D18" s="116">
        <v>8</v>
      </c>
      <c r="E18" s="53" t="s">
        <v>139</v>
      </c>
      <c r="F18" s="117">
        <v>2010</v>
      </c>
      <c r="G18" s="117">
        <v>1</v>
      </c>
      <c r="H18" s="118" t="s">
        <v>111</v>
      </c>
      <c r="I18" s="119"/>
    </row>
    <row r="19" spans="1:13" s="120" customFormat="1" ht="23" x14ac:dyDescent="0.35">
      <c r="A19" s="129">
        <v>2</v>
      </c>
      <c r="B19" s="115" t="s">
        <v>142</v>
      </c>
      <c r="C19" s="115" t="s">
        <v>143</v>
      </c>
      <c r="D19" s="116">
        <v>4</v>
      </c>
      <c r="E19" s="53"/>
      <c r="F19" s="117">
        <v>2013</v>
      </c>
      <c r="G19" s="117">
        <v>1</v>
      </c>
      <c r="H19" s="118" t="s">
        <v>111</v>
      </c>
      <c r="I19" s="119"/>
    </row>
    <row r="20" spans="1:13" s="120" customFormat="1" ht="23" x14ac:dyDescent="0.35">
      <c r="A20" s="129">
        <v>3</v>
      </c>
      <c r="B20" s="115" t="s">
        <v>144</v>
      </c>
      <c r="C20" s="115" t="s">
        <v>145</v>
      </c>
      <c r="D20" s="116">
        <v>62</v>
      </c>
      <c r="E20" s="53" t="s">
        <v>313</v>
      </c>
      <c r="F20" s="117">
        <v>2014</v>
      </c>
      <c r="G20" s="117">
        <v>1</v>
      </c>
      <c r="H20" s="118" t="s">
        <v>111</v>
      </c>
      <c r="I20" s="119"/>
    </row>
    <row r="21" spans="1:13" s="120" customFormat="1" ht="23" x14ac:dyDescent="0.35">
      <c r="A21" s="129">
        <v>4</v>
      </c>
      <c r="B21" s="115" t="s">
        <v>147</v>
      </c>
      <c r="C21" s="115" t="s">
        <v>148</v>
      </c>
      <c r="D21" s="116">
        <v>1</v>
      </c>
      <c r="E21" s="53" t="s">
        <v>149</v>
      </c>
      <c r="F21" s="117">
        <v>2016</v>
      </c>
      <c r="G21" s="117">
        <v>1</v>
      </c>
      <c r="H21" s="118" t="s">
        <v>111</v>
      </c>
      <c r="I21" s="119"/>
    </row>
    <row r="22" spans="1:13" s="120" customFormat="1" ht="23" x14ac:dyDescent="0.35">
      <c r="A22" s="129">
        <v>5</v>
      </c>
      <c r="B22" s="115" t="s">
        <v>151</v>
      </c>
      <c r="C22" s="115" t="s">
        <v>152</v>
      </c>
      <c r="D22" s="116">
        <v>13</v>
      </c>
      <c r="E22" s="53" t="s">
        <v>153</v>
      </c>
      <c r="F22" s="117">
        <v>2016</v>
      </c>
      <c r="G22" s="117">
        <v>1</v>
      </c>
      <c r="H22" s="118" t="s">
        <v>111</v>
      </c>
      <c r="I22" s="119"/>
    </row>
    <row r="23" spans="1:13" s="120" customFormat="1" ht="23" x14ac:dyDescent="0.35">
      <c r="A23" s="129">
        <v>6</v>
      </c>
      <c r="B23" s="115" t="s">
        <v>155</v>
      </c>
      <c r="C23" s="115" t="s">
        <v>156</v>
      </c>
      <c r="D23" s="116">
        <v>7</v>
      </c>
      <c r="E23" s="53"/>
      <c r="F23" s="117">
        <v>2017</v>
      </c>
      <c r="G23" s="117">
        <v>1</v>
      </c>
      <c r="H23" s="118" t="s">
        <v>111</v>
      </c>
      <c r="I23" s="119"/>
    </row>
    <row r="24" spans="1:13" s="120" customFormat="1" ht="23" x14ac:dyDescent="0.35">
      <c r="A24" s="129">
        <v>7</v>
      </c>
      <c r="B24" s="115" t="s">
        <v>159</v>
      </c>
      <c r="C24" s="115" t="s">
        <v>160</v>
      </c>
      <c r="D24" s="116">
        <v>2</v>
      </c>
      <c r="E24" s="53"/>
      <c r="F24" s="117">
        <v>2017</v>
      </c>
      <c r="G24" s="117">
        <v>1</v>
      </c>
      <c r="H24" s="118" t="s">
        <v>111</v>
      </c>
      <c r="I24" s="119"/>
    </row>
    <row r="25" spans="1:13" s="120" customFormat="1" ht="23" x14ac:dyDescent="0.35">
      <c r="A25" s="129">
        <v>8</v>
      </c>
      <c r="B25" s="115" t="s">
        <v>161</v>
      </c>
      <c r="C25" s="115" t="s">
        <v>162</v>
      </c>
      <c r="D25" s="116">
        <v>104</v>
      </c>
      <c r="E25" s="53" t="s">
        <v>163</v>
      </c>
      <c r="F25" s="117">
        <v>2017</v>
      </c>
      <c r="G25" s="117">
        <v>1</v>
      </c>
      <c r="H25" s="118" t="s">
        <v>111</v>
      </c>
      <c r="I25" s="119"/>
    </row>
    <row r="26" spans="1:13" s="120" customFormat="1" ht="23" x14ac:dyDescent="0.35">
      <c r="A26" s="129">
        <v>9</v>
      </c>
      <c r="B26" s="115" t="s">
        <v>164</v>
      </c>
      <c r="C26" s="115" t="s">
        <v>162</v>
      </c>
      <c r="D26" s="116" t="s">
        <v>282</v>
      </c>
      <c r="E26" s="53" t="s">
        <v>165</v>
      </c>
      <c r="F26" s="117">
        <v>2017</v>
      </c>
      <c r="G26" s="117">
        <v>2</v>
      </c>
      <c r="H26" s="118" t="s">
        <v>111</v>
      </c>
      <c r="I26" s="119"/>
    </row>
    <row r="27" spans="1:13" s="120" customFormat="1" ht="23" x14ac:dyDescent="0.35">
      <c r="A27" s="129">
        <v>10</v>
      </c>
      <c r="B27" s="115" t="s">
        <v>144</v>
      </c>
      <c r="C27" s="115" t="s">
        <v>162</v>
      </c>
      <c r="D27" s="116">
        <v>150</v>
      </c>
      <c r="E27" s="53" t="s">
        <v>167</v>
      </c>
      <c r="F27" s="117">
        <v>2017</v>
      </c>
      <c r="G27" s="117">
        <v>1</v>
      </c>
      <c r="H27" s="118" t="s">
        <v>111</v>
      </c>
      <c r="I27" s="119"/>
    </row>
    <row r="28" spans="1:13" s="120" customFormat="1" ht="23" x14ac:dyDescent="0.35">
      <c r="A28" s="129">
        <v>11</v>
      </c>
      <c r="B28" s="115" t="s">
        <v>168</v>
      </c>
      <c r="C28" s="115" t="s">
        <v>162</v>
      </c>
      <c r="D28" s="116" t="s">
        <v>283</v>
      </c>
      <c r="E28" s="53" t="s">
        <v>167</v>
      </c>
      <c r="F28" s="117">
        <v>2017</v>
      </c>
      <c r="G28" s="117">
        <v>3</v>
      </c>
      <c r="H28" s="118" t="s">
        <v>111</v>
      </c>
      <c r="I28" s="119"/>
    </row>
    <row r="29" spans="1:13" s="120" customFormat="1" ht="23" x14ac:dyDescent="0.35">
      <c r="A29" s="129">
        <v>12</v>
      </c>
      <c r="B29" s="115" t="s">
        <v>164</v>
      </c>
      <c r="C29" s="115" t="s">
        <v>162</v>
      </c>
      <c r="D29" s="116" t="s">
        <v>284</v>
      </c>
      <c r="E29" s="53" t="s">
        <v>169</v>
      </c>
      <c r="F29" s="117">
        <v>2017</v>
      </c>
      <c r="G29" s="117">
        <v>5</v>
      </c>
      <c r="H29" s="118" t="s">
        <v>111</v>
      </c>
      <c r="I29" s="119"/>
    </row>
    <row r="30" spans="1:13" s="120" customFormat="1" ht="34.5" x14ac:dyDescent="0.35">
      <c r="A30" s="129">
        <v>13</v>
      </c>
      <c r="B30" s="115" t="s">
        <v>170</v>
      </c>
      <c r="C30" s="115" t="s">
        <v>171</v>
      </c>
      <c r="D30" s="121" t="s">
        <v>285</v>
      </c>
      <c r="E30" s="53" t="s">
        <v>312</v>
      </c>
      <c r="F30" s="117">
        <v>2017</v>
      </c>
      <c r="G30" s="117">
        <v>3</v>
      </c>
      <c r="H30" s="118" t="s">
        <v>111</v>
      </c>
      <c r="I30" s="119"/>
    </row>
    <row r="31" spans="1:13" s="120" customFormat="1" ht="23" x14ac:dyDescent="0.35">
      <c r="A31" s="129">
        <v>14</v>
      </c>
      <c r="B31" s="115" t="s">
        <v>173</v>
      </c>
      <c r="C31" s="115" t="s">
        <v>174</v>
      </c>
      <c r="D31" s="121" t="s">
        <v>314</v>
      </c>
      <c r="E31" s="53" t="s">
        <v>175</v>
      </c>
      <c r="F31" s="117">
        <v>2017</v>
      </c>
      <c r="G31" s="117">
        <v>2</v>
      </c>
      <c r="H31" s="118" t="s">
        <v>111</v>
      </c>
      <c r="I31" s="119"/>
    </row>
    <row r="32" spans="1:13" s="120" customFormat="1" ht="32.25" customHeight="1" x14ac:dyDescent="0.35">
      <c r="A32" s="129">
        <v>15</v>
      </c>
      <c r="B32" s="95" t="s">
        <v>315</v>
      </c>
      <c r="C32" s="95" t="s">
        <v>316</v>
      </c>
      <c r="D32" s="135" t="s">
        <v>318</v>
      </c>
      <c r="E32" s="130" t="s">
        <v>317</v>
      </c>
      <c r="F32" s="117">
        <v>2024</v>
      </c>
      <c r="G32" s="117">
        <v>2</v>
      </c>
      <c r="H32" s="118" t="s">
        <v>111</v>
      </c>
      <c r="I32" s="131"/>
      <c r="J32" s="132"/>
      <c r="K32" s="133"/>
      <c r="L32" s="134"/>
      <c r="M32" s="42"/>
    </row>
    <row r="33" spans="1:9" s="120" customFormat="1" ht="23" x14ac:dyDescent="0.35">
      <c r="A33" s="129">
        <v>16</v>
      </c>
      <c r="B33" s="115" t="s">
        <v>176</v>
      </c>
      <c r="C33" s="115" t="s">
        <v>177</v>
      </c>
      <c r="D33" s="116">
        <v>1</v>
      </c>
      <c r="E33" s="53"/>
      <c r="F33" s="117">
        <v>2018</v>
      </c>
      <c r="G33" s="117">
        <v>1</v>
      </c>
      <c r="H33" s="118" t="s">
        <v>111</v>
      </c>
      <c r="I33" s="119"/>
    </row>
    <row r="34" spans="1:9" s="120" customFormat="1" ht="23" x14ac:dyDescent="0.35">
      <c r="A34" s="129">
        <v>17</v>
      </c>
      <c r="B34" s="115" t="s">
        <v>179</v>
      </c>
      <c r="C34" s="115" t="s">
        <v>180</v>
      </c>
      <c r="D34" s="116">
        <v>8</v>
      </c>
      <c r="E34" s="53" t="s">
        <v>181</v>
      </c>
      <c r="F34" s="117">
        <v>2018</v>
      </c>
      <c r="G34" s="117">
        <v>1</v>
      </c>
      <c r="H34" s="118" t="s">
        <v>111</v>
      </c>
      <c r="I34" s="119"/>
    </row>
    <row r="35" spans="1:9" s="120" customFormat="1" ht="23" x14ac:dyDescent="0.35">
      <c r="A35" s="129">
        <v>18</v>
      </c>
      <c r="B35" s="115" t="s">
        <v>179</v>
      </c>
      <c r="C35" s="115" t="s">
        <v>180</v>
      </c>
      <c r="D35" s="116" t="s">
        <v>286</v>
      </c>
      <c r="E35" s="53" t="s">
        <v>181</v>
      </c>
      <c r="F35" s="117">
        <v>2018</v>
      </c>
      <c r="G35" s="117">
        <v>2</v>
      </c>
      <c r="H35" s="118" t="s">
        <v>111</v>
      </c>
      <c r="I35" s="119"/>
    </row>
    <row r="36" spans="1:9" s="120" customFormat="1" ht="23" x14ac:dyDescent="0.35">
      <c r="A36" s="129">
        <v>19</v>
      </c>
      <c r="B36" s="115" t="s">
        <v>182</v>
      </c>
      <c r="C36" s="115" t="s">
        <v>183</v>
      </c>
      <c r="D36" s="121" t="s">
        <v>287</v>
      </c>
      <c r="E36" s="53" t="s">
        <v>184</v>
      </c>
      <c r="F36" s="117">
        <v>2018</v>
      </c>
      <c r="G36" s="117">
        <v>2</v>
      </c>
      <c r="H36" s="118" t="s">
        <v>111</v>
      </c>
      <c r="I36" s="119"/>
    </row>
    <row r="37" spans="1:9" s="120" customFormat="1" ht="23" x14ac:dyDescent="0.35">
      <c r="A37" s="129">
        <v>20</v>
      </c>
      <c r="B37" s="115" t="s">
        <v>185</v>
      </c>
      <c r="C37" s="115" t="s">
        <v>186</v>
      </c>
      <c r="D37" s="116">
        <v>5</v>
      </c>
      <c r="E37" s="53" t="s">
        <v>187</v>
      </c>
      <c r="F37" s="117">
        <v>2018</v>
      </c>
      <c r="G37" s="117">
        <v>1</v>
      </c>
      <c r="H37" s="118" t="s">
        <v>111</v>
      </c>
      <c r="I37" s="119"/>
    </row>
    <row r="38" spans="1:9" s="120" customFormat="1" ht="23" x14ac:dyDescent="0.35">
      <c r="A38" s="129">
        <v>21</v>
      </c>
      <c r="B38" s="115" t="s">
        <v>188</v>
      </c>
      <c r="C38" s="115" t="s">
        <v>189</v>
      </c>
      <c r="D38" s="121" t="s">
        <v>288</v>
      </c>
      <c r="E38" s="53" t="s">
        <v>190</v>
      </c>
      <c r="F38" s="117">
        <v>2020</v>
      </c>
      <c r="G38" s="117">
        <v>5</v>
      </c>
      <c r="H38" s="118" t="s">
        <v>111</v>
      </c>
      <c r="I38" s="119"/>
    </row>
    <row r="39" spans="1:9" s="120" customFormat="1" ht="23" x14ac:dyDescent="0.35">
      <c r="A39" s="129">
        <v>22</v>
      </c>
      <c r="B39" s="115" t="s">
        <v>191</v>
      </c>
      <c r="C39" s="115" t="s">
        <v>192</v>
      </c>
      <c r="D39" s="140" t="s">
        <v>289</v>
      </c>
      <c r="E39" s="53" t="s">
        <v>193</v>
      </c>
      <c r="F39" s="117">
        <v>2024</v>
      </c>
      <c r="G39" s="117">
        <v>3</v>
      </c>
      <c r="H39" s="118" t="s">
        <v>111</v>
      </c>
      <c r="I39" s="119"/>
    </row>
    <row r="40" spans="1:9" s="120" customFormat="1" ht="23" x14ac:dyDescent="0.35">
      <c r="A40" s="129">
        <v>23</v>
      </c>
      <c r="B40" s="115" t="s">
        <v>196</v>
      </c>
      <c r="C40" s="115" t="s">
        <v>197</v>
      </c>
      <c r="D40" s="121" t="s">
        <v>290</v>
      </c>
      <c r="E40" s="53" t="s">
        <v>310</v>
      </c>
      <c r="F40" s="117">
        <v>2021</v>
      </c>
      <c r="G40" s="117">
        <v>5</v>
      </c>
      <c r="H40" s="118" t="s">
        <v>111</v>
      </c>
      <c r="I40" s="119"/>
    </row>
    <row r="41" spans="1:9" s="120" customFormat="1" ht="23" x14ac:dyDescent="0.35">
      <c r="A41" s="129">
        <v>24</v>
      </c>
      <c r="B41" s="115" t="s">
        <v>198</v>
      </c>
      <c r="C41" s="115" t="s">
        <v>199</v>
      </c>
      <c r="D41" s="116">
        <v>5</v>
      </c>
      <c r="E41" s="53" t="s">
        <v>200</v>
      </c>
      <c r="F41" s="117">
        <v>2021</v>
      </c>
      <c r="G41" s="117">
        <v>1</v>
      </c>
      <c r="H41" s="118" t="s">
        <v>111</v>
      </c>
      <c r="I41" s="119"/>
    </row>
    <row r="42" spans="1:9" s="148" customFormat="1" ht="34.5" x14ac:dyDescent="0.35">
      <c r="A42" s="141">
        <v>25</v>
      </c>
      <c r="B42" s="142" t="s">
        <v>202</v>
      </c>
      <c r="C42" s="142" t="s">
        <v>203</v>
      </c>
      <c r="D42" s="143">
        <v>13</v>
      </c>
      <c r="E42" s="144" t="s">
        <v>204</v>
      </c>
      <c r="F42" s="145">
        <v>2021</v>
      </c>
      <c r="G42" s="145">
        <v>1</v>
      </c>
      <c r="H42" s="146" t="s">
        <v>111</v>
      </c>
      <c r="I42" s="147"/>
    </row>
    <row r="43" spans="1:9" s="120" customFormat="1" ht="34.5" x14ac:dyDescent="0.35">
      <c r="A43" s="129">
        <v>26</v>
      </c>
      <c r="B43" s="115" t="s">
        <v>205</v>
      </c>
      <c r="C43" s="115" t="s">
        <v>206</v>
      </c>
      <c r="D43" s="122" t="s">
        <v>291</v>
      </c>
      <c r="E43" s="53" t="s">
        <v>207</v>
      </c>
      <c r="F43" s="117">
        <v>2022</v>
      </c>
      <c r="G43" s="117">
        <v>2</v>
      </c>
      <c r="H43" s="118" t="s">
        <v>111</v>
      </c>
      <c r="I43" s="119"/>
    </row>
    <row r="44" spans="1:9" s="120" customFormat="1" ht="34.5" x14ac:dyDescent="0.35">
      <c r="A44" s="129">
        <v>27</v>
      </c>
      <c r="B44" s="115" t="s">
        <v>208</v>
      </c>
      <c r="C44" s="115" t="s">
        <v>209</v>
      </c>
      <c r="D44" s="116" t="s">
        <v>292</v>
      </c>
      <c r="E44" s="53" t="s">
        <v>210</v>
      </c>
      <c r="F44" s="117">
        <v>2022</v>
      </c>
      <c r="G44" s="117">
        <v>6</v>
      </c>
      <c r="H44" s="118" t="s">
        <v>111</v>
      </c>
      <c r="I44" s="119"/>
    </row>
    <row r="45" spans="1:9" s="120" customFormat="1" ht="34.5" x14ac:dyDescent="0.35">
      <c r="A45" s="129">
        <v>28</v>
      </c>
      <c r="B45" s="115" t="s">
        <v>211</v>
      </c>
      <c r="C45" s="115" t="s">
        <v>212</v>
      </c>
      <c r="D45" s="116">
        <v>2</v>
      </c>
      <c r="E45" s="53" t="s">
        <v>311</v>
      </c>
      <c r="F45" s="117">
        <v>2022</v>
      </c>
      <c r="G45" s="117">
        <v>1</v>
      </c>
      <c r="H45" s="118" t="s">
        <v>111</v>
      </c>
      <c r="I45" s="119"/>
    </row>
    <row r="46" spans="1:9" s="120" customFormat="1" ht="23" x14ac:dyDescent="0.35">
      <c r="A46" s="129">
        <v>29</v>
      </c>
      <c r="B46" s="115" t="s">
        <v>213</v>
      </c>
      <c r="C46" s="115" t="s">
        <v>214</v>
      </c>
      <c r="D46" s="116" t="s">
        <v>293</v>
      </c>
      <c r="E46" s="53" t="s">
        <v>215</v>
      </c>
      <c r="F46" s="117">
        <v>2022</v>
      </c>
      <c r="G46" s="117">
        <v>3</v>
      </c>
      <c r="H46" s="118" t="s">
        <v>111</v>
      </c>
      <c r="I46" s="119"/>
    </row>
    <row r="47" spans="1:9" s="120" customFormat="1" ht="23" x14ac:dyDescent="0.35">
      <c r="A47" s="129">
        <v>30</v>
      </c>
      <c r="B47" s="115" t="s">
        <v>216</v>
      </c>
      <c r="C47" s="115" t="s">
        <v>217</v>
      </c>
      <c r="D47" s="116">
        <v>6</v>
      </c>
      <c r="E47" s="53" t="s">
        <v>218</v>
      </c>
      <c r="F47" s="117">
        <v>2022</v>
      </c>
      <c r="G47" s="117">
        <v>1</v>
      </c>
      <c r="H47" s="118" t="s">
        <v>111</v>
      </c>
      <c r="I47" s="119"/>
    </row>
    <row r="48" spans="1:9" s="120" customFormat="1" ht="23" x14ac:dyDescent="0.35">
      <c r="A48" s="129">
        <v>31</v>
      </c>
      <c r="B48" s="115" t="s">
        <v>221</v>
      </c>
      <c r="C48" s="115" t="s">
        <v>222</v>
      </c>
      <c r="D48" s="116">
        <v>1</v>
      </c>
      <c r="E48" s="53" t="s">
        <v>223</v>
      </c>
      <c r="F48" s="117">
        <v>2022</v>
      </c>
      <c r="G48" s="117">
        <v>1</v>
      </c>
      <c r="H48" s="118" t="s">
        <v>111</v>
      </c>
      <c r="I48" s="119"/>
    </row>
    <row r="49" spans="1:9" s="120" customFormat="1" ht="23" x14ac:dyDescent="0.35">
      <c r="A49" s="129">
        <v>32</v>
      </c>
      <c r="B49" s="115" t="s">
        <v>224</v>
      </c>
      <c r="C49" s="115" t="s">
        <v>225</v>
      </c>
      <c r="D49" s="116">
        <v>8</v>
      </c>
      <c r="E49" s="53" t="s">
        <v>226</v>
      </c>
      <c r="F49" s="117">
        <v>2022</v>
      </c>
      <c r="G49" s="117">
        <v>1</v>
      </c>
      <c r="H49" s="118" t="s">
        <v>111</v>
      </c>
      <c r="I49" s="119"/>
    </row>
    <row r="50" spans="1:9" s="120" customFormat="1" ht="34.5" x14ac:dyDescent="0.35">
      <c r="A50" s="129">
        <v>33</v>
      </c>
      <c r="B50" s="115" t="s">
        <v>202</v>
      </c>
      <c r="C50" s="115" t="s">
        <v>227</v>
      </c>
      <c r="D50" s="116" t="s">
        <v>294</v>
      </c>
      <c r="E50" s="53" t="s">
        <v>228</v>
      </c>
      <c r="F50" s="117">
        <v>2022</v>
      </c>
      <c r="G50" s="117">
        <v>3</v>
      </c>
      <c r="H50" s="118" t="s">
        <v>111</v>
      </c>
      <c r="I50" s="119"/>
    </row>
    <row r="51" spans="1:9" s="120" customFormat="1" ht="23" x14ac:dyDescent="0.35">
      <c r="A51" s="129">
        <v>34</v>
      </c>
      <c r="B51" s="115" t="s">
        <v>229</v>
      </c>
      <c r="C51" s="115" t="s">
        <v>230</v>
      </c>
      <c r="D51" s="116">
        <v>2</v>
      </c>
      <c r="E51" s="53" t="s">
        <v>210</v>
      </c>
      <c r="F51" s="117">
        <v>2022</v>
      </c>
      <c r="G51" s="117">
        <v>1</v>
      </c>
      <c r="H51" s="118" t="s">
        <v>111</v>
      </c>
      <c r="I51" s="119"/>
    </row>
    <row r="52" spans="1:9" s="120" customFormat="1" ht="23" x14ac:dyDescent="0.35">
      <c r="A52" s="129">
        <v>35</v>
      </c>
      <c r="B52" s="115" t="s">
        <v>231</v>
      </c>
      <c r="C52" s="115" t="s">
        <v>232</v>
      </c>
      <c r="D52" s="116">
        <v>2</v>
      </c>
      <c r="E52" s="53" t="s">
        <v>233</v>
      </c>
      <c r="F52" s="117">
        <v>2022</v>
      </c>
      <c r="G52" s="117">
        <v>1</v>
      </c>
      <c r="H52" s="118" t="s">
        <v>111</v>
      </c>
      <c r="I52" s="119"/>
    </row>
    <row r="53" spans="1:9" s="120" customFormat="1" ht="23" x14ac:dyDescent="0.35">
      <c r="A53" s="129">
        <v>36</v>
      </c>
      <c r="B53" s="115" t="s">
        <v>234</v>
      </c>
      <c r="C53" s="115" t="s">
        <v>235</v>
      </c>
      <c r="D53" s="121" t="s">
        <v>285</v>
      </c>
      <c r="E53" s="53" t="s">
        <v>236</v>
      </c>
      <c r="F53" s="117">
        <v>2022</v>
      </c>
      <c r="G53" s="117">
        <v>3</v>
      </c>
      <c r="H53" s="118" t="s">
        <v>111</v>
      </c>
      <c r="I53" s="119"/>
    </row>
    <row r="54" spans="1:9" s="120" customFormat="1" ht="23" x14ac:dyDescent="0.35">
      <c r="A54" s="129">
        <v>37</v>
      </c>
      <c r="B54" s="115" t="s">
        <v>234</v>
      </c>
      <c r="C54" s="115" t="s">
        <v>235</v>
      </c>
      <c r="D54" s="116">
        <v>15</v>
      </c>
      <c r="E54" s="53" t="s">
        <v>236</v>
      </c>
      <c r="F54" s="117">
        <v>2022</v>
      </c>
      <c r="G54" s="117">
        <v>1</v>
      </c>
      <c r="H54" s="118" t="s">
        <v>111</v>
      </c>
      <c r="I54" s="119"/>
    </row>
    <row r="55" spans="1:9" s="120" customFormat="1" ht="23" x14ac:dyDescent="0.35">
      <c r="A55" s="129">
        <v>38</v>
      </c>
      <c r="B55" s="115" t="s">
        <v>237</v>
      </c>
      <c r="C55" s="115" t="s">
        <v>238</v>
      </c>
      <c r="D55" s="116">
        <v>2</v>
      </c>
      <c r="E55" s="53" t="s">
        <v>239</v>
      </c>
      <c r="F55" s="117">
        <v>2022</v>
      </c>
      <c r="G55" s="117">
        <v>1</v>
      </c>
      <c r="H55" s="118" t="s">
        <v>111</v>
      </c>
      <c r="I55" s="119"/>
    </row>
    <row r="56" spans="1:9" s="120" customFormat="1" ht="23" x14ac:dyDescent="0.35">
      <c r="A56" s="129">
        <v>39</v>
      </c>
      <c r="B56" s="115" t="s">
        <v>241</v>
      </c>
      <c r="C56" s="115" t="s">
        <v>242</v>
      </c>
      <c r="D56" s="116" t="s">
        <v>295</v>
      </c>
      <c r="E56" s="53" t="s">
        <v>243</v>
      </c>
      <c r="F56" s="117">
        <v>2023</v>
      </c>
      <c r="G56" s="117">
        <v>5</v>
      </c>
      <c r="H56" s="118" t="s">
        <v>111</v>
      </c>
      <c r="I56" s="119"/>
    </row>
    <row r="57" spans="1:9" s="120" customFormat="1" ht="23" x14ac:dyDescent="0.35">
      <c r="A57" s="129">
        <v>40</v>
      </c>
      <c r="B57" s="115" t="s">
        <v>196</v>
      </c>
      <c r="C57" s="115" t="s">
        <v>242</v>
      </c>
      <c r="D57" s="116" t="s">
        <v>296</v>
      </c>
      <c r="E57" s="53" t="s">
        <v>244</v>
      </c>
      <c r="F57" s="117">
        <v>2023</v>
      </c>
      <c r="G57" s="117">
        <v>3</v>
      </c>
      <c r="H57" s="118" t="s">
        <v>111</v>
      </c>
      <c r="I57" s="119"/>
    </row>
    <row r="58" spans="1:9" s="120" customFormat="1" ht="34.5" x14ac:dyDescent="0.35">
      <c r="A58" s="129">
        <v>41</v>
      </c>
      <c r="B58" s="115" t="s">
        <v>246</v>
      </c>
      <c r="C58" s="115" t="s">
        <v>247</v>
      </c>
      <c r="D58" s="116">
        <v>4</v>
      </c>
      <c r="E58" s="53" t="s">
        <v>248</v>
      </c>
      <c r="F58" s="117">
        <v>2023</v>
      </c>
      <c r="G58" s="117">
        <v>1</v>
      </c>
      <c r="H58" s="118" t="s">
        <v>111</v>
      </c>
      <c r="I58" s="119"/>
    </row>
    <row r="59" spans="1:9" s="120" customFormat="1" ht="23" x14ac:dyDescent="0.35">
      <c r="A59" s="129">
        <v>42</v>
      </c>
      <c r="B59" s="115" t="s">
        <v>250</v>
      </c>
      <c r="C59" s="115" t="s">
        <v>251</v>
      </c>
      <c r="D59" s="116">
        <v>3</v>
      </c>
      <c r="E59" s="53" t="s">
        <v>252</v>
      </c>
      <c r="F59" s="117">
        <v>2023</v>
      </c>
      <c r="G59" s="117">
        <v>1</v>
      </c>
      <c r="H59" s="118" t="s">
        <v>111</v>
      </c>
      <c r="I59" s="119"/>
    </row>
    <row r="60" spans="1:9" s="120" customFormat="1" ht="23" x14ac:dyDescent="0.35">
      <c r="A60" s="129">
        <v>43</v>
      </c>
      <c r="B60" s="115" t="s">
        <v>253</v>
      </c>
      <c r="C60" s="115" t="s">
        <v>254</v>
      </c>
      <c r="D60" s="116">
        <v>1</v>
      </c>
      <c r="E60" s="53" t="s">
        <v>255</v>
      </c>
      <c r="F60" s="117">
        <v>2023</v>
      </c>
      <c r="G60" s="117">
        <v>1</v>
      </c>
      <c r="H60" s="118" t="s">
        <v>111</v>
      </c>
      <c r="I60" s="119"/>
    </row>
    <row r="61" spans="1:9" s="120" customFormat="1" ht="23" x14ac:dyDescent="0.35">
      <c r="A61" s="129">
        <v>44</v>
      </c>
      <c r="B61" s="115" t="s">
        <v>256</v>
      </c>
      <c r="C61" s="115" t="s">
        <v>257</v>
      </c>
      <c r="D61" s="121" t="s">
        <v>297</v>
      </c>
      <c r="E61" s="53" t="s">
        <v>258</v>
      </c>
      <c r="F61" s="117">
        <v>2023</v>
      </c>
      <c r="G61" s="117">
        <v>2</v>
      </c>
      <c r="H61" s="118" t="s">
        <v>111</v>
      </c>
      <c r="I61" s="119"/>
    </row>
    <row r="62" spans="1:9" s="120" customFormat="1" ht="23" x14ac:dyDescent="0.35">
      <c r="A62" s="129">
        <v>45</v>
      </c>
      <c r="B62" s="115" t="s">
        <v>259</v>
      </c>
      <c r="C62" s="115" t="s">
        <v>260</v>
      </c>
      <c r="D62" s="121" t="s">
        <v>298</v>
      </c>
      <c r="E62" s="53" t="s">
        <v>261</v>
      </c>
      <c r="F62" s="117">
        <v>2023</v>
      </c>
      <c r="G62" s="117">
        <v>2</v>
      </c>
      <c r="H62" s="118" t="s">
        <v>111</v>
      </c>
      <c r="I62" s="119"/>
    </row>
    <row r="63" spans="1:9" s="120" customFormat="1" ht="23" x14ac:dyDescent="0.35">
      <c r="A63" s="129">
        <v>46</v>
      </c>
      <c r="B63" s="115" t="s">
        <v>262</v>
      </c>
      <c r="C63" s="115" t="s">
        <v>263</v>
      </c>
      <c r="D63" s="116">
        <v>16</v>
      </c>
      <c r="E63" s="53" t="s">
        <v>264</v>
      </c>
      <c r="F63" s="117">
        <v>2024</v>
      </c>
      <c r="G63" s="117">
        <v>1</v>
      </c>
      <c r="H63" s="118" t="s">
        <v>111</v>
      </c>
      <c r="I63" s="119"/>
    </row>
    <row r="64" spans="1:9" s="120" customFormat="1" ht="34.5" x14ac:dyDescent="0.35">
      <c r="A64" s="129">
        <v>47</v>
      </c>
      <c r="B64" s="115" t="s">
        <v>267</v>
      </c>
      <c r="C64" s="115" t="s">
        <v>268</v>
      </c>
      <c r="D64" s="116">
        <v>4</v>
      </c>
      <c r="E64" s="53" t="s">
        <v>269</v>
      </c>
      <c r="F64" s="117">
        <v>2024</v>
      </c>
      <c r="G64" s="117">
        <v>1</v>
      </c>
      <c r="H64" s="118" t="s">
        <v>111</v>
      </c>
      <c r="I64" s="119"/>
    </row>
    <row r="65" spans="1:13" s="120" customFormat="1" ht="23" x14ac:dyDescent="0.35">
      <c r="A65" s="129">
        <v>48</v>
      </c>
      <c r="B65" s="115" t="s">
        <v>271</v>
      </c>
      <c r="C65" s="115" t="s">
        <v>272</v>
      </c>
      <c r="D65" s="121" t="s">
        <v>299</v>
      </c>
      <c r="E65" s="53" t="s">
        <v>139</v>
      </c>
      <c r="F65" s="117">
        <v>2024</v>
      </c>
      <c r="G65" s="117">
        <v>3</v>
      </c>
      <c r="H65" s="118" t="s">
        <v>111</v>
      </c>
      <c r="I65" s="119"/>
    </row>
    <row r="66" spans="1:13" s="120" customFormat="1" ht="23" x14ac:dyDescent="0.35">
      <c r="A66" s="129">
        <v>49</v>
      </c>
      <c r="B66" s="115" t="s">
        <v>271</v>
      </c>
      <c r="C66" s="115" t="s">
        <v>272</v>
      </c>
      <c r="D66" s="116">
        <v>5</v>
      </c>
      <c r="E66" s="53" t="s">
        <v>139</v>
      </c>
      <c r="F66" s="117">
        <v>2024</v>
      </c>
      <c r="G66" s="117">
        <v>1</v>
      </c>
      <c r="H66" s="118" t="s">
        <v>111</v>
      </c>
      <c r="I66" s="119"/>
    </row>
    <row r="67" spans="1:13" s="120" customFormat="1" ht="23" x14ac:dyDescent="0.35">
      <c r="A67" s="129">
        <v>50</v>
      </c>
      <c r="B67" s="115" t="s">
        <v>271</v>
      </c>
      <c r="C67" s="115" t="s">
        <v>272</v>
      </c>
      <c r="D67" s="122" t="s">
        <v>300</v>
      </c>
      <c r="E67" s="53" t="s">
        <v>139</v>
      </c>
      <c r="F67" s="117">
        <v>2024</v>
      </c>
      <c r="G67" s="117">
        <v>4</v>
      </c>
      <c r="H67" s="118" t="s">
        <v>111</v>
      </c>
      <c r="I67" s="119"/>
    </row>
    <row r="68" spans="1:13" s="120" customFormat="1" ht="23" x14ac:dyDescent="0.35">
      <c r="A68" s="129">
        <v>51</v>
      </c>
      <c r="B68" s="95" t="s">
        <v>319</v>
      </c>
      <c r="C68" s="95" t="s">
        <v>320</v>
      </c>
      <c r="D68" s="136">
        <v>6</v>
      </c>
      <c r="E68" s="137" t="s">
        <v>321</v>
      </c>
      <c r="F68" s="139">
        <v>2025</v>
      </c>
      <c r="G68" s="139">
        <v>1</v>
      </c>
      <c r="H68" s="118" t="s">
        <v>111</v>
      </c>
      <c r="I68" s="138" t="s">
        <v>322</v>
      </c>
      <c r="J68" s="132"/>
      <c r="K68" s="133"/>
      <c r="L68" s="134"/>
      <c r="M68" s="42"/>
    </row>
    <row r="69" spans="1:13" s="120" customFormat="1" ht="23" x14ac:dyDescent="0.35">
      <c r="A69" s="129">
        <v>52</v>
      </c>
      <c r="B69" s="115" t="s">
        <v>237</v>
      </c>
      <c r="C69" s="115" t="s">
        <v>274</v>
      </c>
      <c r="D69" s="116">
        <v>1</v>
      </c>
      <c r="E69" s="53" t="s">
        <v>275</v>
      </c>
      <c r="F69" s="117">
        <v>2024</v>
      </c>
      <c r="G69" s="117">
        <v>1</v>
      </c>
      <c r="H69" s="118" t="s">
        <v>111</v>
      </c>
      <c r="I69" s="119"/>
    </row>
    <row r="70" spans="1:13" s="120" customFormat="1" ht="23" x14ac:dyDescent="0.35">
      <c r="A70" s="129">
        <v>53</v>
      </c>
      <c r="B70" s="123" t="s">
        <v>278</v>
      </c>
      <c r="C70" s="123" t="s">
        <v>279</v>
      </c>
      <c r="D70" s="124">
        <v>12</v>
      </c>
      <c r="E70" s="125" t="s">
        <v>280</v>
      </c>
      <c r="F70" s="126">
        <v>2024</v>
      </c>
      <c r="G70" s="126">
        <v>1</v>
      </c>
      <c r="H70" s="127" t="s">
        <v>111</v>
      </c>
      <c r="I70" s="128"/>
    </row>
    <row r="71" spans="1:13" s="101" customFormat="1" x14ac:dyDescent="0.35">
      <c r="A71" s="161" t="s">
        <v>95</v>
      </c>
      <c r="B71" s="162"/>
      <c r="C71" s="162"/>
      <c r="D71" s="162"/>
      <c r="E71" s="162"/>
      <c r="F71" s="163"/>
      <c r="G71" s="107">
        <f>SUM(G18:G70)</f>
        <v>101</v>
      </c>
      <c r="H71" s="114"/>
      <c r="I71" s="108"/>
    </row>
    <row r="73" spans="1:13" x14ac:dyDescent="0.35">
      <c r="B73" s="28" t="s">
        <v>23</v>
      </c>
      <c r="E73" s="28"/>
      <c r="H73" s="149" t="s">
        <v>326</v>
      </c>
      <c r="I73" s="149"/>
    </row>
    <row r="74" spans="1:13" x14ac:dyDescent="0.35">
      <c r="B74" s="28" t="s">
        <v>81</v>
      </c>
      <c r="E74" s="28"/>
      <c r="H74" s="149" t="s">
        <v>25</v>
      </c>
      <c r="I74" s="149"/>
    </row>
    <row r="78" spans="1:13" x14ac:dyDescent="0.35">
      <c r="B78" s="28" t="s">
        <v>133</v>
      </c>
      <c r="E78" s="28"/>
      <c r="H78" s="149" t="s">
        <v>135</v>
      </c>
      <c r="I78" s="149"/>
    </row>
    <row r="79" spans="1:13" x14ac:dyDescent="0.35">
      <c r="B79" s="28" t="s">
        <v>134</v>
      </c>
      <c r="E79" s="28"/>
      <c r="H79" s="149" t="s">
        <v>136</v>
      </c>
      <c r="I79" s="149"/>
    </row>
  </sheetData>
  <mergeCells count="15">
    <mergeCell ref="A2:I2"/>
    <mergeCell ref="A3:I3"/>
    <mergeCell ref="H14:H16"/>
    <mergeCell ref="I14:I16"/>
    <mergeCell ref="H73:I73"/>
    <mergeCell ref="H74:I74"/>
    <mergeCell ref="H78:I78"/>
    <mergeCell ref="H79:I79"/>
    <mergeCell ref="A14:A16"/>
    <mergeCell ref="B14:B16"/>
    <mergeCell ref="C14:D15"/>
    <mergeCell ref="E14:E16"/>
    <mergeCell ref="F14:F16"/>
    <mergeCell ref="G14:G16"/>
    <mergeCell ref="A71:F71"/>
  </mergeCells>
  <printOptions horizontalCentered="1"/>
  <pageMargins left="0" right="0" top="0.55118110236220497" bottom="0.74803149606299202" header="0.31496062992126" footer="0.31496062992126"/>
  <pageSetup paperSize="9" scale="80" orientation="landscape" horizontalDpi="360" verticalDpi="360" r:id="rId1"/>
  <headerFooter>
    <oddFooter>&amp;RHal &amp;P dari &amp;N</oddFooter>
  </headerFooter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D10:D12"/>
  <sheetViews>
    <sheetView workbookViewId="0">
      <selection activeCell="F15" sqref="F15"/>
    </sheetView>
  </sheetViews>
  <sheetFormatPr defaultRowHeight="14.5" x14ac:dyDescent="0.35"/>
  <sheetData>
    <row r="10" spans="4:4" x14ac:dyDescent="0.35">
      <c r="D10">
        <f>60*60000</f>
        <v>3600000</v>
      </c>
    </row>
    <row r="11" spans="4:4" x14ac:dyDescent="0.35">
      <c r="D11">
        <f>150*50000</f>
        <v>7500000</v>
      </c>
    </row>
    <row r="12" spans="4:4" x14ac:dyDescent="0.35">
      <c r="D12">
        <f>25000*30</f>
        <v>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17</vt:i4>
      </vt:variant>
    </vt:vector>
  </HeadingPairs>
  <TitlesOfParts>
    <vt:vector size="36" baseType="lpstr">
      <vt:lpstr>KIBA</vt:lpstr>
      <vt:lpstr>KIBB</vt:lpstr>
      <vt:lpstr>KIBC</vt:lpstr>
      <vt:lpstr>KIBD</vt:lpstr>
      <vt:lpstr>KIBE</vt:lpstr>
      <vt:lpstr>KIBF</vt:lpstr>
      <vt:lpstr>KIR</vt:lpstr>
      <vt:lpstr>KIBAInv</vt:lpstr>
      <vt:lpstr>KIBBInv</vt:lpstr>
      <vt:lpstr>KIBCInv</vt:lpstr>
      <vt:lpstr>KIBDInv</vt:lpstr>
      <vt:lpstr>KIBEInv</vt:lpstr>
      <vt:lpstr>KIBFInv</vt:lpstr>
      <vt:lpstr>RKPInv</vt:lpstr>
      <vt:lpstr>Rekap</vt:lpstr>
      <vt:lpstr>BI</vt:lpstr>
      <vt:lpstr>KIR (2)</vt:lpstr>
      <vt:lpstr>KIR (3)</vt:lpstr>
      <vt:lpstr>Sheet1</vt:lpstr>
      <vt:lpstr>'KIR (3)'!Print_Area</vt:lpstr>
      <vt:lpstr>BI!Print_Titles</vt:lpstr>
      <vt:lpstr>KIBA!Print_Titles</vt:lpstr>
      <vt:lpstr>KIBAInv!Print_Titles</vt:lpstr>
      <vt:lpstr>KIBB!Print_Titles</vt:lpstr>
      <vt:lpstr>KIBBInv!Print_Titles</vt:lpstr>
      <vt:lpstr>KIBC!Print_Titles</vt:lpstr>
      <vt:lpstr>KIBCInv!Print_Titles</vt:lpstr>
      <vt:lpstr>KIBD!Print_Titles</vt:lpstr>
      <vt:lpstr>KIBDInv!Print_Titles</vt:lpstr>
      <vt:lpstr>KIBE!Print_Titles</vt:lpstr>
      <vt:lpstr>KIBEInv!Print_Titles</vt:lpstr>
      <vt:lpstr>KIBF!Print_Titles</vt:lpstr>
      <vt:lpstr>KIBFInv!Print_Titles</vt:lpstr>
      <vt:lpstr>KIR!Print_Titles</vt:lpstr>
      <vt:lpstr>'KIR (2)'!Print_Titles</vt:lpstr>
      <vt:lpstr>'KIR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SeML</dc:creator>
  <cp:lastModifiedBy>Munawwirul Jamal</cp:lastModifiedBy>
  <cp:lastPrinted>2025-10-07T02:43:05Z</cp:lastPrinted>
  <dcterms:created xsi:type="dcterms:W3CDTF">2018-10-30T05:44:35Z</dcterms:created>
  <dcterms:modified xsi:type="dcterms:W3CDTF">2026-04-01T15:38:24Z</dcterms:modified>
</cp:coreProperties>
</file>